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adf04b51e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ing" sheetId="1" r:id="R02c14dca0f214788"/>
    <x:sheet xmlns:r="http://schemas.openxmlformats.org/officeDocument/2006/relationships" name="Evidence" sheetId="2" r:id="R3fc35a2621fb4411"/>
    <x:sheet xmlns:r="http://schemas.openxmlformats.org/officeDocument/2006/relationships" name="Source timing" sheetId="3" r:id="R9c2fd4deef2c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 hh:mm"/>
    <x:numFmt numFmtId="202" formatCode="0.00"/>
  </x:numFmts>
  <x:fonts count="4">
    <x:font>
      <x:sz val="11"/>
      <x:name val="Carlito"/>
    </x:font>
    <x:font>
      <x:sz val="10"/>
      <x:color rgb="FF243040"/>
      <x:name val="Arial"/>
    </x:font>
    <x:font>
      <x:b/>
      <x:sz val="15"/>
      <x:color rgb="FF243B5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CF"/>
      </x:patternFill>
    </x:fill>
    <x:fill>
      <x:patternFill patternType="solid">
        <x:fgColor rgb="FFE9EFF4"/>
      </x:patternFill>
    </x:fill>
    <x:fill>
      <x:patternFill patternType="solid">
        <x:fgColor rgb="FF243B53"/>
      </x:patternFill>
    </x:fill>
  </x:fills>
  <x:borders count="2">
    <x:border/>
    <x:border>
      <x:bottom style="thin">
        <x:color rgb="FF243B5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</x:font>
      <x:fill>
        <x:patternFill patternType="solid">
          <x:bgColor rgb="FFFFF4C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474879c7b46dc" /><Relationship Type="http://schemas.openxmlformats.org/officeDocument/2006/relationships/theme" Target="/xl/theme/theme1.xml" Id="R9b200ed241004a01" /><Relationship Type="http://schemas.openxmlformats.org/officeDocument/2006/relationships/sharedStrings" Target="/xl/sharedStrings.xml" Id="R1efdda71aded4da4" /><Relationship Type="http://schemas.openxmlformats.org/officeDocument/2006/relationships/worksheet" Target="/xl/worksheets/sheet1.xml" Id="R02c14dca0f214788" /><Relationship Type="http://schemas.openxmlformats.org/officeDocument/2006/relationships/worksheet" Target="/xl/worksheets/sheet2.xml" Id="R3fc35a2621fb4411" /><Relationship Type="http://schemas.openxmlformats.org/officeDocument/2006/relationships/worksheet" Target="/xl/worksheets/sheet3.xml" Id="R9c2fd4deef2c40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24" hidden="0" customWidth="1"/>
    <x:col min="2" max="2" width="46" hidden="0" customWidth="1"/>
    <x:col min="3" max="3" width="18" hidden="0" customWidth="1"/>
    <x:col min="4" max="4" width="20" hidden="0" customWidth="1"/>
    <x:col min="5" max="5" width="22" hidden="0" customWidth="1"/>
    <x:col min="6" max="6" width="25" hidden="0" customWidth="1"/>
    <x:col min="7" max="7" width="25" hidden="0" customWidth="1"/>
    <x:col min="8" max="8" width="25" hidden="0" customWidth="1"/>
    <x:col min="9" max="9" width="21" hidden="0" customWidth="1"/>
    <x:col min="10" max="10" width="22" hidden="0" customWidth="1"/>
    <x:col min="11" max="11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Change trace timing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2" t="str">
        <x:v>SYNTHETIC. Intervals are elapsed calendar hours, not person-hours. Missing acceptance evidence and timing remain unknown.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 t="str">
        <x:v>Advance triage (hours)</x:v>
      </x:c>
      <x:c r="B4" s="6" t="n">
        <x:v>3</x:v>
      </x:c>
      <x:c r="C4" s="2"/>
      <x:c r="D4" s="2" t="str">
        <x:v>Maximum valid advance</x:v>
      </x:c>
      <x:c r="E4" s="16" t="n">
        <x:f>('Source timing'!D8-'Source timing'!C8)*24</x:f>
        <x:v>3.483333333337214</x:v>
      </x:c>
      <x:c r="F4" s="2"/>
      <x:c r="G4" s="2" t="str">
        <x:v>Scenario input</x:v>
      </x:c>
      <x:c r="H4" s="2" t="str">
        <x:f>IF(AND(ISNUMBER(B4),B4&gt;=0,B4&lt;=E4),"VALID","INVALID_ADVANCE")</x:f>
        <x:v>VALID</x:v>
      </x:c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7" t="str">
        <x:v>Observed endpoint hours</x:v>
      </x:c>
      <x:c r="B6" s="15" t="n">
        <x:f>(MAX('Source timing'!E7:E19)-MIN('Source timing'!C7:C19))*24</x:f>
        <x:v>72.33333333337214</x:v>
      </x:c>
      <x:c r="C6" s="2"/>
      <x:c r="D6" s="7" t="str">
        <x:v>Known queue hours</x:v>
      </x:c>
      <x:c r="E6" s="15" t="n">
        <x:f>SUM(D10:D22)</x:f>
        <x:v>44.75000000005821</x:v>
      </x:c>
      <x:c r="F6" s="2"/>
      <x:c r="G6" s="2"/>
      <x:c r="H6" s="7" t="str">
        <x:v>Known work-span hours</x:v>
      </x:c>
      <x:c r="I6" s="15" t="n">
        <x:f>SUM(E10:E22)</x:f>
        <x:v>27.58333333331393</x:v>
      </x:c>
      <x:c r="J6" s="2"/>
      <x:c r="K6" s="2"/>
    </x:row>
    <x:row r="7">
      <x:c r="A7" s="7" t="str">
        <x:v>Scenario endpoint hours</x:v>
      </x:c>
      <x:c r="B7" s="15" t="n">
        <x:f>IF(H4="VALID",(MAX(H10:H22)-MIN(F10:F22))*24,"INVALID_ADVANCE")</x:f>
        <x:v>72.33333333337214</x:v>
      </x:c>
      <x:c r="C7" s="2"/>
      <x:c r="D7" s="7" t="str">
        <x:v>Scenario queue hours</x:v>
      </x:c>
      <x:c r="E7" s="15" t="n">
        <x:f>IF(H4="VALID",SUM(I10:I22),"INVALID_ADVANCE")</x:f>
        <x:v>44.75000000005821</x:v>
      </x:c>
      <x:c r="F7" s="2"/>
      <x:c r="G7" s="2"/>
      <x:c r="H7" s="7" t="str">
        <x:v>Missing timing stages</x:v>
      </x:c>
      <x:c r="I7" s="7" t="n">
        <x:f>COUNTIFS(D10:D22,"UNKNOWN")</x:f>
        <x:v>1</x:v>
      </x:c>
      <x:c r="J7" s="2"/>
      <x:c r="K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38" customHeight="1">
      <x:c r="A9" s="11" t="str">
        <x:v>Stage</x:v>
      </x:c>
      <x:c r="B9" s="11" t="str">
        <x:v>Name</x:v>
      </x:c>
      <x:c r="C9" s="11" t="str">
        <x:v>Evidence status</x:v>
      </x:c>
      <x:c r="D9" s="11" t="str">
        <x:v>Observed queue hours</x:v>
      </x:c>
      <x:c r="E9" s="11" t="str">
        <x:v>Observed work-span hours</x:v>
      </x:c>
      <x:c r="F9" s="11" t="str">
        <x:v>Scenario queue entry (UTC)</x:v>
      </x:c>
      <x:c r="G9" s="11" t="str">
        <x:v>Scenario work start (UTC)</x:v>
      </x:c>
      <x:c r="H9" s="11" t="str">
        <x:v>Scenario work end (UTC)</x:v>
      </x:c>
      <x:c r="I9" s="11" t="str">
        <x:v>Scenario queue hours</x:v>
      </x:c>
      <x:c r="J9" s="11" t="str">
        <x:v>Scenario work-span hours</x:v>
      </x:c>
      <x:c r="K9" s="11" t="str">
        <x:v>Queue delta hours</x:v>
      </x:c>
    </x:row>
    <x:row r="10" ht="42" customHeight="1">
      <x:c r="A10" s="12" t="n">
        <x:v>1</x:v>
      </x:c>
      <x:c r="B10" s="12" t="str">
        <x:v>Intake</x:v>
      </x:c>
      <x:c r="C10" s="12" t="str">
        <x:v>SUPPORTED</x:v>
      </x:c>
      <x:c r="D10" s="13" t="n">
        <x:f>IF(AND(ISNUMBER('Source timing'!C7),ISNUMBER('Source timing'!D7)),('Source timing'!D7-'Source timing'!C7)*24,"UNKNOWN")</x:f>
        <x:v>0.1333333332440816</x:v>
      </x:c>
      <x:c r="E10" s="13" t="n">
        <x:f>IF(AND(ISNUMBER('Source timing'!D7),ISNUMBER('Source timing'!E7)),('Source timing'!E7-'Source timing'!D7)*24,"UNKNOWN")</x:f>
        <x:v>0.18333333340706304</x:v>
      </x:c>
      <x:c r="F10" s="14" t="n">
        <x:f>IF(ISNUMBER('Source timing'!C7),IF($H$4="VALID",'Source timing'!C7-IF(A10=3,$B$4/24,0),"INVALID_ADVANCE"),"")</x:f>
        <x:v>46237.59166666667</x:v>
      </x:c>
      <x:c r="G10" s="14" t="n">
        <x:f>IF(ISNUMBER('Source timing'!D7),IF($H$4="VALID",'Source timing'!D7-IF(A10=2,$B$4/24,0),"INVALID_ADVANCE"),"")</x:f>
        <x:v>46237.59722222222</x:v>
      </x:c>
      <x:c r="H10" s="14" t="n">
        <x:f>IF(ISNUMBER('Source timing'!E7),IF($H$4="VALID",'Source timing'!E7-IF(A10=2,$B$4/24,0),"INVALID_ADVANCE"),"")</x:f>
        <x:v>46237.60486111111</x:v>
      </x:c>
      <x:c r="I10" s="13" t="n">
        <x:f>IF($H$4&lt;&gt;"VALID","INVALID_ADVANCE",IF(AND(ISNUMBER(F10),ISNUMBER(G10)),(G10-F10)*24,"UNKNOWN"))</x:f>
        <x:v>0.1333333332440816</x:v>
      </x:c>
      <x:c r="J10" s="13" t="n">
        <x:f>IF($H$4&lt;&gt;"VALID","INVALID_ADVANCE",IF(AND(ISNUMBER(G10),ISNUMBER(H10)),(H10-G10)*24,"UNKNOWN"))</x:f>
        <x:v>0.18333333340706304</x:v>
      </x:c>
      <x:c r="K10" s="13" t="n">
        <x:f>IF($H$4&lt;&gt;"VALID","INVALID_ADVANCE",IF(AND(ISNUMBER(D10),ISNUMBER(I10)),I10-D10,"UNKNOWN"))</x:f>
        <x:v>0</x:v>
      </x:c>
    </x:row>
    <x:row r="11" ht="42" customHeight="1">
      <x:c r="A11" s="12" t="n">
        <x:v>2</x:v>
      </x:c>
      <x:c r="B11" s="12" t="str">
        <x:v>Triage</x:v>
      </x:c>
      <x:c r="C11" s="12" t="str">
        <x:v>SUPPORTED</x:v>
      </x:c>
      <x:c r="D11" s="13" t="n">
        <x:f>IF(AND(ISNUMBER('Source timing'!C8),ISNUMBER('Source timing'!D8)),('Source timing'!D8-'Source timing'!C8)*24,"UNKNOWN")</x:f>
        <x:v>3.483333333337214</x:v>
      </x:c>
      <x:c r="E11" s="13" t="n">
        <x:f>IF(AND(ISNUMBER('Source timing'!D8),ISNUMBER('Source timing'!E8)),('Source timing'!E8-'Source timing'!D8)*24,"UNKNOWN")</x:f>
        <x:v>0.2999999999301508</x:v>
      </x:c>
      <x:c r="F11" s="14" t="n">
        <x:f>IF(ISNUMBER('Source timing'!C8),IF($H$4="VALID",'Source timing'!C8-IF(A11=3,$B$4/24,0),"INVALID_ADVANCE"),"")</x:f>
        <x:v>46237.60486111111</x:v>
      </x:c>
      <x:c r="G11" s="14" t="n">
        <x:f>IF(ISNUMBER('Source timing'!D8),IF($H$4="VALID",'Source timing'!D8-IF(A11=2,$B$4/24,0),"INVALID_ADVANCE"),"")</x:f>
        <x:v>46237.625</x:v>
      </x:c>
      <x:c r="H11" s="14" t="n">
        <x:f>IF(ISNUMBER('Source timing'!E8),IF($H$4="VALID",'Source timing'!E8-IF(A11=2,$B$4/24,0),"INVALID_ADVANCE"),"")</x:f>
        <x:v>46237.6375</x:v>
      </x:c>
      <x:c r="I11" s="13" t="n">
        <x:f>IF($H$4&lt;&gt;"VALID","INVALID_ADVANCE",IF(AND(ISNUMBER(F11),ISNUMBER(G11)),(G11-F11)*24,"UNKNOWN"))</x:f>
        <x:v>0.48333333333721384</x:v>
      </x:c>
      <x:c r="J11" s="13" t="n">
        <x:f>IF($H$4&lt;&gt;"VALID","INVALID_ADVANCE",IF(AND(ISNUMBER(G11),ISNUMBER(H11)),(H11-G11)*24,"UNKNOWN"))</x:f>
        <x:v>0.2999999999301508</x:v>
      </x:c>
      <x:c r="K11" s="13" t="n">
        <x:f>IF($H$4&lt;&gt;"VALID","INVALID_ADVANCE",IF(AND(ISNUMBER(D11),ISNUMBER(I11)),I11-D11,"UNKNOWN"))</x:f>
        <x:v>-3</x:v>
      </x:c>
    </x:row>
    <x:row r="12" ht="42" customHeight="1">
      <x:c r="A12" s="12" t="n">
        <x:v>3</x:v>
      </x:c>
      <x:c r="B12" s="12" t="str">
        <x:v>Need and acceptance</x:v>
      </x:c>
      <x:c r="C12" s="12" t="str">
        <x:v>PARTIAL</x:v>
      </x:c>
      <x:c r="D12" s="13" t="n">
        <x:f>IF(AND(ISNUMBER('Source timing'!C9),ISNUMBER('Source timing'!D9)),('Source timing'!D9-'Source timing'!C9)*24,"UNKNOWN")</x:f>
        <x:v>19.866666666814126</x:v>
      </x:c>
      <x:c r="E12" s="13" t="n">
        <x:f>IF(AND(ISNUMBER('Source timing'!D9),ISNUMBER('Source timing'!E9)),('Source timing'!E9-'Source timing'!D9)*24,"UNKNOWN")</x:f>
        <x:v>0.8333333332557231</x:v>
      </x:c>
      <x:c r="F12" s="14" t="n">
        <x:f>IF(ISNUMBER('Source timing'!C9),IF($H$4="VALID",'Source timing'!C9-IF(A12=3,$B$4/24,0),"INVALID_ADVANCE"),"")</x:f>
        <x:v>46237.6375</x:v>
      </x:c>
      <x:c r="G12" s="14" t="n">
        <x:f>IF(ISNUMBER('Source timing'!D9),IF($H$4="VALID",'Source timing'!D9-IF(A12=2,$B$4/24,0),"INVALID_ADVANCE"),"")</x:f>
        <x:v>46238.59027777778</x:v>
      </x:c>
      <x:c r="H12" s="14" t="n">
        <x:f>IF(ISNUMBER('Source timing'!E9),IF($H$4="VALID",'Source timing'!E9-IF(A12=2,$B$4/24,0),"INVALID_ADVANCE"),"")</x:f>
        <x:v>46238.625</x:v>
      </x:c>
      <x:c r="I12" s="13" t="n">
        <x:f>IF($H$4&lt;&gt;"VALID","INVALID_ADVANCE",IF(AND(ISNUMBER(F12),ISNUMBER(G12)),(G12-F12)*24,"UNKNOWN"))</x:f>
        <x:v>22.866666666814126</x:v>
      </x:c>
      <x:c r="J12" s="13" t="n">
        <x:f>IF($H$4&lt;&gt;"VALID","INVALID_ADVANCE",IF(AND(ISNUMBER(G12),ISNUMBER(H12)),(H12-G12)*24,"UNKNOWN"))</x:f>
        <x:v>0.8333333332557231</x:v>
      </x:c>
      <x:c r="K12" s="13" t="n">
        <x:f>IF($H$4&lt;&gt;"VALID","INVALID_ADVANCE",IF(AND(ISNUMBER(D12),ISNUMBER(I12)),I12-D12,"UNKNOWN"))</x:f>
        <x:v>3</x:v>
      </x:c>
    </x:row>
    <x:row r="13" ht="42" customHeight="1">
      <x:c r="A13" s="12" t="n">
        <x:v>4</x:v>
      </x:c>
      <x:c r="B13" s="12" t="str">
        <x:v>Design</x:v>
      </x:c>
      <x:c r="C13" s="12" t="str">
        <x:v>SUPPORTED</x:v>
      </x:c>
      <x:c r="D13" s="13" t="n">
        <x:f>IF(AND(ISNUMBER('Source timing'!C10),ISNUMBER('Source timing'!D10)),('Source timing'!D10-'Source timing'!C10)*24,"UNKNOWN")</x:f>
        <x:v>0.33333333337213844</x:v>
      </x:c>
      <x:c r="E13" s="13" t="n">
        <x:f>IF(AND(ISNUMBER('Source timing'!D10),ISNUMBER('Source timing'!E10)),('Source timing'!E10-'Source timing'!D10)*24,"UNKNOWN")</x:f>
        <x:v>0.75</x:v>
      </x:c>
      <x:c r="F13" s="14" t="n">
        <x:f>IF(ISNUMBER('Source timing'!C10),IF($H$4="VALID",'Source timing'!C10-IF(A13=3,$B$4/24,0),"INVALID_ADVANCE"),"")</x:f>
        <x:v>46238.625</x:v>
      </x:c>
      <x:c r="G13" s="14" t="n">
        <x:f>IF(ISNUMBER('Source timing'!D10),IF($H$4="VALID",'Source timing'!D10-IF(A13=2,$B$4/24,0),"INVALID_ADVANCE"),"")</x:f>
        <x:v>46238.63888888889</x:v>
      </x:c>
      <x:c r="H13" s="14" t="n">
        <x:f>IF(ISNUMBER('Source timing'!E10),IF($H$4="VALID",'Source timing'!E10-IF(A13=2,$B$4/24,0),"INVALID_ADVANCE"),"")</x:f>
        <x:v>46238.67013888889</x:v>
      </x:c>
      <x:c r="I13" s="13" t="n">
        <x:f>IF($H$4&lt;&gt;"VALID","INVALID_ADVANCE",IF(AND(ISNUMBER(F13),ISNUMBER(G13)),(G13-F13)*24,"UNKNOWN"))</x:f>
        <x:v>0.33333333337213844</x:v>
      </x:c>
      <x:c r="J13" s="13" t="n">
        <x:f>IF($H$4&lt;&gt;"VALID","INVALID_ADVANCE",IF(AND(ISNUMBER(G13),ISNUMBER(H13)),(H13-G13)*24,"UNKNOWN"))</x:f>
        <x:v>0.75</x:v>
      </x:c>
      <x:c r="K13" s="13" t="n">
        <x:f>IF($H$4&lt;&gt;"VALID","INVALID_ADVANCE",IF(AND(ISNUMBER(D13),ISNUMBER(I13)),I13-D13,"UNKNOWN"))</x:f>
        <x:v>0</x:v>
      </x:c>
    </x:row>
    <x:row r="14" ht="42" customHeight="1">
      <x:c r="A14" s="12" t="n">
        <x:v>5</x:v>
      </x:c>
      <x:c r="B14" s="12" t="str">
        <x:v>Implementation</x:v>
      </x:c>
      <x:c r="C14" s="12" t="str">
        <x:v>SUPPORTED</x:v>
      </x:c>
      <x:c r="D14" s="13" t="n">
        <x:f>IF(AND(ISNUMBER('Source timing'!C11),ISNUMBER('Source timing'!D11)),('Source timing'!D11-'Source timing'!C11)*24,"UNKNOWN")</x:f>
        <x:v>2.166666666569654</x:v>
      </x:c>
      <x:c r="E14" s="13" t="n">
        <x:f>IF(AND(ISNUMBER('Source timing'!D11),ISNUMBER('Source timing'!E11)),('Source timing'!E11-'Source timing'!D11)*24,"UNKNOWN")</x:f>
        <x:v>21.45000000006985</x:v>
      </x:c>
      <x:c r="F14" s="14" t="n">
        <x:f>IF(ISNUMBER('Source timing'!C11),IF($H$4="VALID",'Source timing'!C11-IF(A14=3,$B$4/24,0),"INVALID_ADVANCE"),"")</x:f>
        <x:v>46238.67013888889</x:v>
      </x:c>
      <x:c r="G14" s="14" t="n">
        <x:f>IF(ISNUMBER('Source timing'!D11),IF($H$4="VALID",'Source timing'!D11-IF(A14=2,$B$4/24,0),"INVALID_ADVANCE"),"")</x:f>
        <x:v>46238.760416666664</x:v>
      </x:c>
      <x:c r="H14" s="14" t="n">
        <x:f>IF(ISNUMBER('Source timing'!E11),IF($H$4="VALID",'Source timing'!E11-IF(A14=2,$B$4/24,0),"INVALID_ADVANCE"),"")</x:f>
        <x:v>46239.65416666667</x:v>
      </x:c>
      <x:c r="I14" s="13" t="n">
        <x:f>IF($H$4&lt;&gt;"VALID","INVALID_ADVANCE",IF(AND(ISNUMBER(F14),ISNUMBER(G14)),(G14-F14)*24,"UNKNOWN"))</x:f>
        <x:v>2.166666666569654</x:v>
      </x:c>
      <x:c r="J14" s="13" t="n">
        <x:f>IF($H$4&lt;&gt;"VALID","INVALID_ADVANCE",IF(AND(ISNUMBER(G14),ISNUMBER(H14)),(H14-G14)*24,"UNKNOWN"))</x:f>
        <x:v>21.45000000006985</x:v>
      </x:c>
      <x:c r="K14" s="13" t="n">
        <x:f>IF($H$4&lt;&gt;"VALID","INVALID_ADVANCE",IF(AND(ISNUMBER(D14),ISNUMBER(I14)),I14-D14,"UNKNOWN"))</x:f>
        <x:v>0</x:v>
      </x:c>
    </x:row>
    <x:row r="15" ht="42" customHeight="1">
      <x:c r="A15" s="12" t="n">
        <x:v>6</x:v>
      </x:c>
      <x:c r="B15" s="12" t="str">
        <x:v>Peer review</x:v>
      </x:c>
      <x:c r="C15" s="12" t="str">
        <x:v>SUPPORTED</x:v>
      </x:c>
      <x:c r="D15" s="13" t="n">
        <x:f>IF(AND(ISNUMBER('Source timing'!C12),ISNUMBER('Source timing'!D12)),('Source timing'!D12-'Source timing'!C12)*24,"UNKNOWN")</x:f>
        <x:v>0.46666666661622</x:v>
      </x:c>
      <x:c r="E15" s="13" t="n">
        <x:f>IF(AND(ISNUMBER('Source timing'!D12),ISNUMBER('Source timing'!E12)),('Source timing'!E12-'Source timing'!D12)*24,"UNKNOWN")</x:f>
        <x:v>1.866666666639503</x:v>
      </x:c>
      <x:c r="F15" s="14" t="n">
        <x:f>IF(ISNUMBER('Source timing'!C12),IF($H$4="VALID",'Source timing'!C12-IF(A15=3,$B$4/24,0),"INVALID_ADVANCE"),"")</x:f>
        <x:v>46239.65416666667</x:v>
      </x:c>
      <x:c r="G15" s="14" t="n">
        <x:f>IF(ISNUMBER('Source timing'!D12),IF($H$4="VALID",'Source timing'!D12-IF(A15=2,$B$4/24,0),"INVALID_ADVANCE"),"")</x:f>
        <x:v>46239.67361111111</x:v>
      </x:c>
      <x:c r="H15" s="14" t="n">
        <x:f>IF(ISNUMBER('Source timing'!E12),IF($H$4="VALID",'Source timing'!E12-IF(A15=2,$B$4/24,0),"INVALID_ADVANCE"),"")</x:f>
        <x:v>46239.751388888886</x:v>
      </x:c>
      <x:c r="I15" s="13" t="n">
        <x:f>IF($H$4&lt;&gt;"VALID","INVALID_ADVANCE",IF(AND(ISNUMBER(F15),ISNUMBER(G15)),(G15-F15)*24,"UNKNOWN"))</x:f>
        <x:v>0.46666666661622</x:v>
      </x:c>
      <x:c r="J15" s="13" t="n">
        <x:f>IF($H$4&lt;&gt;"VALID","INVALID_ADVANCE",IF(AND(ISNUMBER(G15),ISNUMBER(H15)),(H15-G15)*24,"UNKNOWN"))</x:f>
        <x:v>1.866666666639503</x:v>
      </x:c>
      <x:c r="K15" s="13" t="n">
        <x:f>IF($H$4&lt;&gt;"VALID","INVALID_ADVANCE",IF(AND(ISNUMBER(D15),ISNUMBER(I15)),I15-D15,"UNKNOWN"))</x:f>
        <x:v>0</x:v>
      </x:c>
    </x:row>
    <x:row r="16" ht="42" customHeight="1">
      <x:c r="A16" s="12" t="n">
        <x:v>7</x:v>
      </x:c>
      <x:c r="B16" s="12" t="str">
        <x:v>Verification</x:v>
      </x:c>
      <x:c r="C16" s="12" t="str">
        <x:v>SUPPORTED</x:v>
      </x:c>
      <x:c r="D16" s="13" t="n">
        <x:f>IF(AND(ISNUMBER('Source timing'!C13),ISNUMBER('Source timing'!D13)),('Source timing'!D13-'Source timing'!C13)*24,"UNKNOWN")</x:f>
        <x:v>0.10000000015133992</x:v>
      </x:c>
      <x:c r="E16" s="13" t="n">
        <x:f>IF(AND(ISNUMBER('Source timing'!D13),ISNUMBER('Source timing'!E13)),('Source timing'!E13-'Source timing'!D13)*24,"UNKNOWN")</x:f>
        <x:v>0.93333333323244</x:v>
      </x:c>
      <x:c r="F16" s="14" t="n">
        <x:f>IF(ISNUMBER('Source timing'!C13),IF($H$4="VALID",'Source timing'!C13-IF(A16=3,$B$4/24,0),"INVALID_ADVANCE"),"")</x:f>
        <x:v>46239.751388888886</x:v>
      </x:c>
      <x:c r="G16" s="14" t="n">
        <x:f>IF(ISNUMBER('Source timing'!D13),IF($H$4="VALID",'Source timing'!D13-IF(A16=2,$B$4/24,0),"INVALID_ADVANCE"),"")</x:f>
        <x:v>46239.75555555556</x:v>
      </x:c>
      <x:c r="H16" s="14" t="n">
        <x:f>IF(ISNUMBER('Source timing'!E13),IF($H$4="VALID",'Source timing'!E13-IF(A16=2,$B$4/24,0),"INVALID_ADVANCE"),"")</x:f>
        <x:v>46239.794444444444</x:v>
      </x:c>
      <x:c r="I16" s="13" t="n">
        <x:f>IF($H$4&lt;&gt;"VALID","INVALID_ADVANCE",IF(AND(ISNUMBER(F16),ISNUMBER(G16)),(G16-F16)*24,"UNKNOWN"))</x:f>
        <x:v>0.10000000015133992</x:v>
      </x:c>
      <x:c r="J16" s="13" t="n">
        <x:f>IF($H$4&lt;&gt;"VALID","INVALID_ADVANCE",IF(AND(ISNUMBER(G16),ISNUMBER(H16)),(H16-G16)*24,"UNKNOWN"))</x:f>
        <x:v>0.93333333323244</x:v>
      </x:c>
      <x:c r="K16" s="13" t="n">
        <x:f>IF($H$4&lt;&gt;"VALID","INVALID_ADVANCE",IF(AND(ISNUMBER(D16),ISNUMBER(I16)),I16-D16,"UNKNOWN"))</x:f>
        <x:v>0</x:v>
      </x:c>
    </x:row>
    <x:row r="17" ht="42" customHeight="1">
      <x:c r="A17" s="12" t="n">
        <x:v>8</x:v>
      </x:c>
      <x:c r="B17" s="12" t="str">
        <x:v>User or business acceptance</x:v>
      </x:c>
      <x:c r="C17" s="12" t="str">
        <x:v>UNKNOWN</x:v>
      </x:c>
      <x:c r="D17" s="13" t="str">
        <x:f>IF(AND(ISNUMBER('Source timing'!C14),ISNUMBER('Source timing'!D14)),('Source timing'!D14-'Source timing'!C14)*24,"UNKNOWN")</x:f>
        <x:v>UNKNOWN</x:v>
      </x:c>
      <x:c r="E17" s="13" t="str">
        <x:f>IF(AND(ISNUMBER('Source timing'!D14),ISNUMBER('Source timing'!E14)),('Source timing'!E14-'Source timing'!D14)*24,"UNKNOWN")</x:f>
        <x:v>UNKNOWN</x:v>
      </x:c>
      <x:c r="F17" s="14" t="str">
        <x:f>IF(ISNUMBER('Source timing'!C14),IF($H$4="VALID",'Source timing'!C14-IF(A17=3,$B$4/24,0),"INVALID_ADVANCE"),"")</x:f>
      </x:c>
      <x:c r="G17" s="14" t="str">
        <x:f>IF(ISNUMBER('Source timing'!D14),IF($H$4="VALID",'Source timing'!D14-IF(A17=2,$B$4/24,0),"INVALID_ADVANCE"),"")</x:f>
      </x:c>
      <x:c r="H17" s="14" t="str">
        <x:f>IF(ISNUMBER('Source timing'!E14),IF($H$4="VALID",'Source timing'!E14-IF(A17=2,$B$4/24,0),"INVALID_ADVANCE"),"")</x:f>
      </x:c>
      <x:c r="I17" s="13" t="str">
        <x:f>IF($H$4&lt;&gt;"VALID","INVALID_ADVANCE",IF(AND(ISNUMBER(F17),ISNUMBER(G17)),(G17-F17)*24,"UNKNOWN"))</x:f>
        <x:v>UNKNOWN</x:v>
      </x:c>
      <x:c r="J17" s="13" t="str">
        <x:f>IF($H$4&lt;&gt;"VALID","INVALID_ADVANCE",IF(AND(ISNUMBER(G17),ISNUMBER(H17)),(H17-G17)*24,"UNKNOWN"))</x:f>
        <x:v>UNKNOWN</x:v>
      </x:c>
      <x:c r="K17" s="13" t="str">
        <x:f>IF($H$4&lt;&gt;"VALID","INVALID_ADVANCE",IF(AND(ISNUMBER(D17),ISNUMBER(I17)),I17-D17,"UNKNOWN"))</x:f>
        <x:v>UNKNOWN</x:v>
      </x:c>
    </x:row>
    <x:row r="18" ht="42" customHeight="1">
      <x:c r="A18" s="12" t="n">
        <x:v>9</x:v>
      </x:c>
      <x:c r="B18" s="12" t="str">
        <x:v>Release authorization</x:v>
      </x:c>
      <x:c r="C18" s="12" t="str">
        <x:v>SUPPORTED</x:v>
      </x:c>
      <x:c r="D18" s="13" t="n">
        <x:f>IF(AND(ISNUMBER('Source timing'!C15),ISNUMBER('Source timing'!D15)),('Source timing'!D15-'Source timing'!C15)*24,"UNKNOWN")</x:f>
        <x:v>0.26666666666278616</x:v>
      </x:c>
      <x:c r="E18" s="13" t="n">
        <x:f>IF(AND(ISNUMBER('Source timing'!D15),ISNUMBER('Source timing'!E15)),('Source timing'!E15-'Source timing'!D15)*24,"UNKNOWN")</x:f>
        <x:v>0.13333333341870457</x:v>
      </x:c>
      <x:c r="F18" s="14" t="n">
        <x:f>IF(ISNUMBER('Source timing'!C15),IF($H$4="VALID",'Source timing'!C15-IF(A18=3,$B$4/24,0),"INVALID_ADVANCE"),"")</x:f>
        <x:v>46239.794444444444</x:v>
      </x:c>
      <x:c r="G18" s="14" t="n">
        <x:f>IF(ISNUMBER('Source timing'!D15),IF($H$4="VALID",'Source timing'!D15-IF(A18=2,$B$4/24,0),"INVALID_ADVANCE"),"")</x:f>
        <x:v>46239.805555555555</x:v>
      </x:c>
      <x:c r="H18" s="14" t="n">
        <x:f>IF(ISNUMBER('Source timing'!E15),IF($H$4="VALID",'Source timing'!E15-IF(A18=2,$B$4/24,0),"INVALID_ADVANCE"),"")</x:f>
        <x:v>46239.811111111114</x:v>
      </x:c>
      <x:c r="I18" s="13" t="n">
        <x:f>IF($H$4&lt;&gt;"VALID","INVALID_ADVANCE",IF(AND(ISNUMBER(F18),ISNUMBER(G18)),(G18-F18)*24,"UNKNOWN"))</x:f>
        <x:v>0.26666666666278616</x:v>
      </x:c>
      <x:c r="J18" s="13" t="n">
        <x:f>IF($H$4&lt;&gt;"VALID","INVALID_ADVANCE",IF(AND(ISNUMBER(G18),ISNUMBER(H18)),(H18-G18)*24,"UNKNOWN"))</x:f>
        <x:v>0.13333333341870457</x:v>
      </x:c>
      <x:c r="K18" s="13" t="n">
        <x:f>IF($H$4&lt;&gt;"VALID","INVALID_ADVANCE",IF(AND(ISNUMBER(D18),ISNUMBER(I18)),I18-D18,"UNKNOWN"))</x:f>
        <x:v>0</x:v>
      </x:c>
    </x:row>
    <x:row r="19" ht="42" customHeight="1">
      <x:c r="A19" s="12" t="n">
        <x:v>10</x:v>
      </x:c>
      <x:c r="B19" s="12" t="str">
        <x:v>Deployment or activation</x:v>
      </x:c>
      <x:c r="C19" s="12" t="str">
        <x:v>SUPPORTED</x:v>
      </x:c>
      <x:c r="D19" s="13" t="n">
        <x:f>IF(AND(ISNUMBER('Source timing'!C16),ISNUMBER('Source timing'!D16)),('Source timing'!D16-'Source timing'!C16)*24,"UNKNOWN")</x:f>
        <x:v>0.0666666665347293</x:v>
      </x:c>
      <x:c r="E19" s="13" t="n">
        <x:f>IF(AND(ISNUMBER('Source timing'!D16),ISNUMBER('Source timing'!E16)),('Source timing'!E16-'Source timing'!D16)*24,"UNKNOWN")</x:f>
        <x:v>0.1500000001396984</x:v>
      </x:c>
      <x:c r="F19" s="14" t="n">
        <x:f>IF(ISNUMBER('Source timing'!C16),IF($H$4="VALID",'Source timing'!C16-IF(A19=3,$B$4/24,0),"INVALID_ADVANCE"),"")</x:f>
        <x:v>46239.811111111114</x:v>
      </x:c>
      <x:c r="G19" s="14" t="n">
        <x:f>IF(ISNUMBER('Source timing'!D16),IF($H$4="VALID",'Source timing'!D16-IF(A19=2,$B$4/24,0),"INVALID_ADVANCE"),"")</x:f>
        <x:v>46239.813888888886</x:v>
      </x:c>
      <x:c r="H19" s="14" t="n">
        <x:f>IF(ISNUMBER('Source timing'!E16),IF($H$4="VALID",'Source timing'!E16-IF(A19=2,$B$4/24,0),"INVALID_ADVANCE"),"")</x:f>
        <x:v>46239.82013888889</x:v>
      </x:c>
      <x:c r="I19" s="13" t="n">
        <x:f>IF($H$4&lt;&gt;"VALID","INVALID_ADVANCE",IF(AND(ISNUMBER(F19),ISNUMBER(G19)),(G19-F19)*24,"UNKNOWN"))</x:f>
        <x:v>0.0666666665347293</x:v>
      </x:c>
      <x:c r="J19" s="13" t="n">
        <x:f>IF($H$4&lt;&gt;"VALID","INVALID_ADVANCE",IF(AND(ISNUMBER(G19),ISNUMBER(H19)),(H19-G19)*24,"UNKNOWN"))</x:f>
        <x:v>0.1500000001396984</x:v>
      </x:c>
      <x:c r="K19" s="13" t="n">
        <x:f>IF($H$4&lt;&gt;"VALID","INVALID_ADVANCE",IF(AND(ISNUMBER(D19),ISNUMBER(I19)),I19-D19,"UNKNOWN"))</x:f>
        <x:v>0</x:v>
      </x:c>
    </x:row>
    <x:row r="20" ht="42" customHeight="1">
      <x:c r="A20" s="12" t="n">
        <x:v>11</x:v>
      </x:c>
      <x:c r="B20" s="12" t="str">
        <x:v>Post-change validation</x:v>
      </x:c>
      <x:c r="C20" s="12" t="str">
        <x:v>PARTIAL</x:v>
      </x:c>
      <x:c r="D20" s="13" t="n">
        <x:f>IF(AND(ISNUMBER('Source timing'!C17),ISNUMBER('Source timing'!D17)),('Source timing'!D17-'Source timing'!C17)*24,"UNKNOWN")</x:f>
        <x:v>0.03333333326736465</x:v>
      </x:c>
      <x:c r="E20" s="13" t="n">
        <x:f>IF(AND(ISNUMBER('Source timing'!D17),ISNUMBER('Source timing'!E17)),('Source timing'!E17-'Source timing'!D17)*24,"UNKNOWN")</x:f>
        <x:v>0.08333333325572312</x:v>
      </x:c>
      <x:c r="F20" s="14" t="n">
        <x:f>IF(ISNUMBER('Source timing'!C17),IF($H$4="VALID",'Source timing'!C17-IF(A20=3,$B$4/24,0),"INVALID_ADVANCE"),"")</x:f>
        <x:v>46239.82013888889</x:v>
      </x:c>
      <x:c r="G20" s="14" t="n">
        <x:f>IF(ISNUMBER('Source timing'!D17),IF($H$4="VALID",'Source timing'!D17-IF(A20=2,$B$4/24,0),"INVALID_ADVANCE"),"")</x:f>
        <x:v>46239.82152777778</x:v>
      </x:c>
      <x:c r="H20" s="14" t="n">
        <x:f>IF(ISNUMBER('Source timing'!E17),IF($H$4="VALID",'Source timing'!E17-IF(A20=2,$B$4/24,0),"INVALID_ADVANCE"),"")</x:f>
        <x:v>46239.825</x:v>
      </x:c>
      <x:c r="I20" s="13" t="n">
        <x:f>IF($H$4&lt;&gt;"VALID","INVALID_ADVANCE",IF(AND(ISNUMBER(F20),ISNUMBER(G20)),(G20-F20)*24,"UNKNOWN"))</x:f>
        <x:v>0.03333333326736465</x:v>
      </x:c>
      <x:c r="J20" s="13" t="n">
        <x:f>IF($H$4&lt;&gt;"VALID","INVALID_ADVANCE",IF(AND(ISNUMBER(G20),ISNUMBER(H20)),(H20-G20)*24,"UNKNOWN"))</x:f>
        <x:v>0.08333333325572312</x:v>
      </x:c>
      <x:c r="K20" s="13" t="n">
        <x:f>IF($H$4&lt;&gt;"VALID","INVALID_ADVANCE",IF(AND(ISNUMBER(D20),ISNUMBER(I20)),I20-D20,"UNKNOWN"))</x:f>
        <x:v>0</x:v>
      </x:c>
    </x:row>
    <x:row r="21" ht="42" customHeight="1">
      <x:c r="A21" s="12" t="n">
        <x:v>12</x:v>
      </x:c>
      <x:c r="B21" s="12" t="str">
        <x:v>Support handoff</x:v>
      </x:c>
      <x:c r="C21" s="12" t="str">
        <x:v>CONFLICT</x:v>
      </x:c>
      <x:c r="D21" s="13" t="n">
        <x:f>IF(AND(ISNUMBER('Source timing'!C18),ISNUMBER('Source timing'!D18)),('Source timing'!D18-'Source timing'!C18)*24,"UNKNOWN")</x:f>
        <x:v>0.033333333441987634</x:v>
      </x:c>
      <x:c r="E21" s="13" t="n">
        <x:f>IF(AND(ISNUMBER('Source timing'!D18),ISNUMBER('Source timing'!E18)),('Source timing'!E18-'Source timing'!D18)*24,"UNKNOWN")</x:f>
        <x:v>0.3666666666395031</x:v>
      </x:c>
      <x:c r="F21" s="14" t="n">
        <x:f>IF(ISNUMBER('Source timing'!C18),IF($H$4="VALID",'Source timing'!C18-IF(A21=3,$B$4/24,0),"INVALID_ADVANCE"),"")</x:f>
        <x:v>46239.825</x:v>
      </x:c>
      <x:c r="G21" s="14" t="n">
        <x:f>IF(ISNUMBER('Source timing'!D18),IF($H$4="VALID",'Source timing'!D18-IF(A21=2,$B$4/24,0),"INVALID_ADVANCE"),"")</x:f>
        <x:v>46239.82638888889</x:v>
      </x:c>
      <x:c r="H21" s="14" t="n">
        <x:f>IF(ISNUMBER('Source timing'!E18),IF($H$4="VALID",'Source timing'!E18-IF(A21=2,$B$4/24,0),"INVALID_ADVANCE"),"")</x:f>
        <x:v>46239.84166666667</x:v>
      </x:c>
      <x:c r="I21" s="13" t="n">
        <x:f>IF($H$4&lt;&gt;"VALID","INVALID_ADVANCE",IF(AND(ISNUMBER(F21),ISNUMBER(G21)),(G21-F21)*24,"UNKNOWN"))</x:f>
        <x:v>0.033333333441987634</x:v>
      </x:c>
      <x:c r="J21" s="13" t="n">
        <x:f>IF($H$4&lt;&gt;"VALID","INVALID_ADVANCE",IF(AND(ISNUMBER(G21),ISNUMBER(H21)),(H21-G21)*24,"UNKNOWN"))</x:f>
        <x:v>0.3666666666395031</x:v>
      </x:c>
      <x:c r="K21" s="13" t="n">
        <x:f>IF($H$4&lt;&gt;"VALID","INVALID_ADVANCE",IF(AND(ISNUMBER(D21),ISNUMBER(I21)),I21-D21,"UNKNOWN"))</x:f>
        <x:v>0</x:v>
      </x:c>
    </x:row>
    <x:row r="22" ht="42" customHeight="1">
      <x:c r="A22" s="12" t="n">
        <x:v>13</x:v>
      </x:c>
      <x:c r="B22" s="12" t="str">
        <x:v>Follow-up and learning</x:v>
      </x:c>
      <x:c r="C22" s="12" t="str">
        <x:v>SUPPORTED</x:v>
      </x:c>
      <x:c r="D22" s="13" t="n">
        <x:f>IF(AND(ISNUMBER('Source timing'!C19),ISNUMBER('Source timing'!D19)),('Source timing'!D19-'Source timing'!C19)*24,"UNKNOWN")</x:f>
        <x:v>17.800000000046566</x:v>
      </x:c>
      <x:c r="E22" s="13" t="n">
        <x:f>IF(AND(ISNUMBER('Source timing'!D19),ISNUMBER('Source timing'!E19)),('Source timing'!E19-'Source timing'!D19)*24,"UNKNOWN")</x:f>
        <x:v>0.5333333333255723</x:v>
      </x:c>
      <x:c r="F22" s="14" t="n">
        <x:f>IF(ISNUMBER('Source timing'!C19),IF($H$4="VALID",'Source timing'!C19-IF(A22=3,$B$4/24,0),"INVALID_ADVANCE"),"")</x:f>
        <x:v>46239.84166666667</x:v>
      </x:c>
      <x:c r="G22" s="14" t="n">
        <x:f>IF(ISNUMBER('Source timing'!D19),IF($H$4="VALID",'Source timing'!D19-IF(A22=2,$B$4/24,0),"INVALID_ADVANCE"),"")</x:f>
        <x:v>46240.583333333336</x:v>
      </x:c>
      <x:c r="H22" s="14" t="n">
        <x:f>IF(ISNUMBER('Source timing'!E19),IF($H$4="VALID",'Source timing'!E19-IF(A22=2,$B$4/24,0),"INVALID_ADVANCE"),"")</x:f>
        <x:v>46240.60555555556</x:v>
      </x:c>
      <x:c r="I22" s="13" t="n">
        <x:f>IF($H$4&lt;&gt;"VALID","INVALID_ADVANCE",IF(AND(ISNUMBER(F22),ISNUMBER(G22)),(G22-F22)*24,"UNKNOWN"))</x:f>
        <x:v>17.800000000046566</x:v>
      </x:c>
      <x:c r="J22" s="13" t="n">
        <x:f>IF($H$4&lt;&gt;"VALID","INVALID_ADVANCE",IF(AND(ISNUMBER(G22),ISNUMBER(H22)),(H22-G22)*24,"UNKNOWN"))</x:f>
        <x:v>0.5333333333255723</x:v>
      </x:c>
      <x:c r="K22" s="13" t="n">
        <x:f>IF($H$4&lt;&gt;"VALID","INVALID_ADVANCE",IF(AND(ISNUMBER(D22),ISNUMBER(I22)),I22-D22,"UNKNOWN"))</x:f>
        <x:v>0</x:v>
      </x:c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 t="str">
        <x:v>Scenario: triage starts and ends earlier; stage 3 receives its handoff earlier. All later work starts and ends stay fixed.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 t="str">
        <x:v>At a three-hour advance, triage waiting falls by three hours and the next queue grows by three hours. End-to-end observed time is unchanged.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 t="str">
        <x:v>Set the amber input to zero to restore observed timing. Evidence conclusions never change with the timing assumption.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</x:sheetData>
  <x:conditionalFormatting sqref="H4:H4">
    <x:cfRule type="containsText" dxfId="0" priority="1" operator="containsText" text="INVALID"/>
  </x:conditionalFormatting>
  <x:dataValidations count="1">
    <x:dataValidation type="decimal" operator="between" sqref="B4">
      <x:formula1>0</x:formula1>
      <x:formula2>$E$4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24" hidden="0" customWidth="1"/>
    <x:col min="5" max="5" width="60" hidden="0" customWidth="1"/>
    <x:col min="6" max="6" width="65" hidden="0" customWidth="1"/>
    <x:col min="7" max="7" width="30" hidden="0" customWidth="1"/>
    <x:col min="8" max="8" width="25" hidden="0" customWidth="1"/>
    <x:col min="9" max="9" width="65" hidden="0" customWidth="1"/>
    <x:col min="10" max="10" width="20" hidden="0" customWidth="1"/>
    <x:col min="11" max="11" width="65" hidden="0" customWidth="1"/>
    <x:col min="12" max="12" width="65" hidden="0" customWidth="1"/>
    <x:col min="13" max="13" width="65" hidden="0" customWidth="1"/>
    <x:col min="14" max="14" width="24" hidden="0" customWidth="1"/>
    <x:col min="15" max="15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4" t="str">
        <x:v>Evidence and interview follow-up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2" t="str">
        <x:v>SYNTHETIC. Source conclusions are retained. Add interview responses in the amber column without overwriting the source statements.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 t="str">
        <x:v>Source change SYN-041-001, group ESS-SYN. Evidence identifiers refer to the original fictional example.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8" customHeight="1">
      <x:c r="A6" s="11" t="str">
        <x:v>Stage</x:v>
      </x:c>
      <x:c r="B6" s="11" t="str">
        <x:v>Name</x:v>
      </x:c>
      <x:c r="C6" s="11" t="str">
        <x:v>Status</x:v>
      </x:c>
      <x:c r="D6" s="11" t="str">
        <x:v>Owner role</x:v>
      </x:c>
      <x:c r="E6" s="11" t="str">
        <x:v>Documented expectation</x:v>
      </x:c>
      <x:c r="F6" s="11" t="str">
        <x:v>Observed activity</x:v>
      </x:c>
      <x:c r="G6" s="11" t="str">
        <x:v>Evidence reference</x:v>
      </x:c>
      <x:c r="H6" s="11" t="str">
        <x:v>Evidence type</x:v>
      </x:c>
      <x:c r="I6" s="11" t="str">
        <x:v>Evidence meaning</x:v>
      </x:c>
      <x:c r="J6" s="11" t="str">
        <x:v>Exception</x:v>
      </x:c>
      <x:c r="K6" s="11" t="str">
        <x:v>Gap or conflict</x:v>
      </x:c>
      <x:c r="L6" s="11" t="str">
        <x:v>Follow-up question</x:v>
      </x:c>
      <x:c r="M6" s="11" t="str">
        <x:v>Reviewer response</x:v>
      </x:c>
      <x:c r="N6" s="11" t="str">
        <x:v>Handoff from</x:v>
      </x:c>
      <x:c r="O6" s="11" t="str">
        <x:v>Handoff to</x:v>
      </x:c>
    </x:row>
    <x:row r="7" ht="70" customHeight="1">
      <x:c r="A7" s="12" t="n">
        <x:v>1</x:v>
      </x:c>
      <x:c r="B7" s="12" t="str">
        <x:v>Intake</x:v>
      </x:c>
      <x:c r="C7" s="12" t="str">
        <x:v>SUPPORTED</x:v>
      </x:c>
      <x:c r="D7" s="12" t="str">
        <x:v>Business analyst</x:v>
      </x:c>
      <x:c r="E7" s="12" t="str">
        <x:v>Request recorded with requester, problem statement, affected users, and desired outcome</x:v>
      </x:c>
      <x:c r="F7" s="12" t="str">
        <x:v>Fictional request RQ-041-17 contains requester, problem statement, and desired outcome</x:v>
      </x:c>
      <x:c r="G7" s="12" t="str">
        <x:v>RQ-041-17</x:v>
      </x:c>
      <x:c r="H7" s="12" t="str">
        <x:v>ticket</x:v>
      </x:c>
      <x:c r="I7" s="12" t="str">
        <x:v>Establishes fictional intake content and timestamps</x:v>
      </x:c>
      <x:c r="J7" s="12" t="str">
        <x:v>none</x:v>
      </x:c>
      <x:c r="K7" s="12" t="str"/>
      <x:c r="L7" s="12" t="str"/>
      <x:c r="M7" s="18"/>
      <x:c r="N7" s="12" t="str">
        <x:v>Requester</x:v>
      </x:c>
      <x:c r="O7" s="12" t="str">
        <x:v>Business analyst</x:v>
      </x:c>
    </x:row>
    <x:row r="8" ht="70" customHeight="1">
      <x:c r="A8" s="12" t="n">
        <x:v>2</x:v>
      </x:c>
      <x:c r="B8" s="12" t="str">
        <x:v>Triage</x:v>
      </x:c>
      <x:c r="C8" s="12" t="str">
        <x:v>SUPPORTED</x:v>
      </x:c>
      <x:c r="D8" s="12" t="str">
        <x:v>Product owner</x:v>
      </x:c>
      <x:c r="E8" s="12" t="str">
        <x:v>Priority, scope, owner, and path selected</x:v>
      </x:c>
      <x:c r="F8" s="12" t="str">
        <x:v>Triage decision selects routine path initially and assigns product owner</x:v>
      </x:c>
      <x:c r="G8" s="12" t="str">
        <x:v>TRIAGE-041-17</x:v>
      </x:c>
      <x:c r="H8" s="12" t="str">
        <x:v>ticket</x:v>
      </x:c>
      <x:c r="I8" s="12" t="str">
        <x:v>Establishes fictional priority, scope, and owner decision</x:v>
      </x:c>
      <x:c r="J8" s="12" t="str">
        <x:v>none</x:v>
      </x:c>
      <x:c r="K8" s="12" t="str"/>
      <x:c r="L8" s="12" t="str"/>
      <x:c r="M8" s="18"/>
      <x:c r="N8" s="12" t="str">
        <x:v>Business analyst</x:v>
      </x:c>
      <x:c r="O8" s="12" t="str">
        <x:v>Product owner</x:v>
      </x:c>
    </x:row>
    <x:row r="9" ht="70" customHeight="1">
      <x:c r="A9" s="12" t="n">
        <x:v>3</x:v>
      </x:c>
      <x:c r="B9" s="12" t="str">
        <x:v>Need and acceptance</x:v>
      </x:c>
      <x:c r="C9" s="12" t="str">
        <x:v>PARTIAL</x:v>
      </x:c>
      <x:c r="D9" s="12" t="str">
        <x:v>Product owner</x:v>
      </x:c>
      <x:c r="E9" s="12" t="str">
        <x:v>Acceptance criteria approved before implementation</x:v>
      </x:c>
      <x:c r="F9" s="12" t="str">
        <x:v>Three criteria recorded; one later changes after dependency discovery</x:v>
      </x:c>
      <x:c r="G9" s="12" t="str">
        <x:v>AC-041-17</x:v>
      </x:c>
      <x:c r="H9" s="12" t="str">
        <x:v>document</x:v>
      </x:c>
      <x:c r="I9" s="12" t="str">
        <x:v>Establishes initial fictional criteria but not later approval authority</x:v>
      </x:c>
      <x:c r="J9" s="12" t="str">
        <x:v>none</x:v>
      </x:c>
      <x:c r="K9" s="12" t="str">
        <x:v>Criterion AC-3 changed later; approval of revised wording is not in this artifact</x:v>
      </x:c>
      <x:c r="L9" s="12" t="str">
        <x:v>Where is the decision record approving revised AC-3?</x:v>
      </x:c>
      <x:c r="M9" s="18"/>
      <x:c r="N9" s="12" t="str">
        <x:v>Product owner</x:v>
      </x:c>
      <x:c r="O9" s="12" t="str">
        <x:v>Developer</x:v>
      </x:c>
    </x:row>
    <x:row r="10" ht="70" customHeight="1">
      <x:c r="A10" s="12" t="n">
        <x:v>4</x:v>
      </x:c>
      <x:c r="B10" s="12" t="str">
        <x:v>Design</x:v>
      </x:c>
      <x:c r="C10" s="12" t="str">
        <x:v>SUPPORTED</x:v>
      </x:c>
      <x:c r="D10" s="12" t="str">
        <x:v>Developer</x:v>
      </x:c>
      <x:c r="E10" s="12" t="str">
        <x:v>Dependencies and risk captured before build</x:v>
      </x:c>
      <x:c r="F10" s="12" t="str">
        <x:v>Design note records a fictional cross-team access dependency and consultation</x:v>
      </x:c>
      <x:c r="G10" s="12" t="str">
        <x:v>DES-041-17</x:v>
      </x:c>
      <x:c r="H10" s="12" t="str">
        <x:v>document</x:v>
      </x:c>
      <x:c r="I10" s="12" t="str">
        <x:v>Establishes fictional dependency analysis and consultation outcome</x:v>
      </x:c>
      <x:c r="J10" s="12" t="str">
        <x:v>none</x:v>
      </x:c>
      <x:c r="K10" s="12" t="str"/>
      <x:c r="L10" s="12" t="str"/>
      <x:c r="M10" s="18"/>
      <x:c r="N10" s="12" t="str">
        <x:v>Product owner</x:v>
      </x:c>
      <x:c r="O10" s="12" t="str">
        <x:v>Developer</x:v>
      </x:c>
    </x:row>
    <x:row r="11" ht="70" customHeight="1">
      <x:c r="A11" s="12" t="n">
        <x:v>5</x:v>
      </x:c>
      <x:c r="B11" s="12" t="str">
        <x:v>Implementation</x:v>
      </x:c>
      <x:c r="C11" s="12" t="str">
        <x:v>SUPPORTED</x:v>
      </x:c>
      <x:c r="D11" s="12" t="str">
        <x:v>Developer</x:v>
      </x:c>
      <x:c r="E11" s="12" t="str">
        <x:v>Change linked to request and criteria</x:v>
      </x:c>
      <x:c r="F11" s="12" t="str">
        <x:v>Commit metadata and change record link to RQ-041-17 and AC-041-17</x:v>
      </x:c>
      <x:c r="G11" s="12" t="str">
        <x:v>CHG-041-17</x:v>
      </x:c>
      <x:c r="H11" s="12" t="str">
        <x:v>system record</x:v>
      </x:c>
      <x:c r="I11" s="12" t="str">
        <x:v>Establishes fictional implementation linkage and completion timestamp</x:v>
      </x:c>
      <x:c r="J11" s="12" t="str">
        <x:v>none</x:v>
      </x:c>
      <x:c r="K11" s="12" t="str"/>
      <x:c r="L11" s="12" t="str"/>
      <x:c r="M11" s="18"/>
      <x:c r="N11" s="12" t="str">
        <x:v>Developer</x:v>
      </x:c>
      <x:c r="O11" s="12" t="str">
        <x:v>Reviewer</x:v>
      </x:c>
    </x:row>
    <x:row r="12" ht="70" customHeight="1">
      <x:c r="A12" s="12" t="n">
        <x:v>6</x:v>
      </x:c>
      <x:c r="B12" s="12" t="str">
        <x:v>Peer review</x:v>
      </x:c>
      <x:c r="C12" s="12" t="str">
        <x:v>SUPPORTED</x:v>
      </x:c>
      <x:c r="D12" s="12" t="str">
        <x:v>Reviewer</x:v>
      </x:c>
      <x:c r="E12" s="12" t="str">
        <x:v>A qualified peer reviews behavior and risks</x:v>
      </x:c>
      <x:c r="F12" s="12" t="str">
        <x:v>Review contains two substantive comments; both have recorded resolution</x:v>
      </x:c>
      <x:c r="G12" s="12" t="str">
        <x:v>REV-041-17</x:v>
      </x:c>
      <x:c r="H12" s="12" t="str">
        <x:v>system record</x:v>
      </x:c>
      <x:c r="I12" s="12" t="str">
        <x:v>Establishes fictional reviewer comments and dispositions</x:v>
      </x:c>
      <x:c r="J12" s="12" t="str">
        <x:v>none</x:v>
      </x:c>
      <x:c r="K12" s="12" t="str"/>
      <x:c r="L12" s="12" t="str"/>
      <x:c r="M12" s="18"/>
      <x:c r="N12" s="12" t="str">
        <x:v>Developer</x:v>
      </x:c>
      <x:c r="O12" s="12" t="str">
        <x:v>Developer</x:v>
      </x:c>
    </x:row>
    <x:row r="13" ht="70" customHeight="1">
      <x:c r="A13" s="12" t="n">
        <x:v>7</x:v>
      </x:c>
      <x:c r="B13" s="12" t="str">
        <x:v>Verification</x:v>
      </x:c>
      <x:c r="C13" s="12" t="str">
        <x:v>SUPPORTED</x:v>
      </x:c>
      <x:c r="D13" s="12" t="str">
        <x:v>Developer</x:v>
      </x:c>
      <x:c r="E13" s="12" t="str">
        <x:v>Applicable automated or manual checks pass with results retained</x:v>
      </x:c>
      <x:c r="F13" s="12" t="str">
        <x:v>Unit and integration checks retained; one initial failure followed by a passing rerun with linked defect note</x:v>
      </x:c>
      <x:c r="G13" s="12" t="str">
        <x:v>TEST-041-17</x:v>
      </x:c>
      <x:c r="H13" s="12" t="str">
        <x:v>system record</x:v>
      </x:c>
      <x:c r="I13" s="12" t="str">
        <x:v>Establishes fictional test outcomes including failed first run and rerun</x:v>
      </x:c>
      <x:c r="J13" s="12" t="str">
        <x:v>none</x:v>
      </x:c>
      <x:c r="K13" s="12" t="str"/>
      <x:c r="L13" s="12" t="str"/>
      <x:c r="M13" s="18"/>
      <x:c r="N13" s="12" t="str">
        <x:v>Reviewer</x:v>
      </x:c>
      <x:c r="O13" s="12" t="str">
        <x:v>Product owner</x:v>
      </x:c>
    </x:row>
    <x:row r="14" ht="70" customHeight="1">
      <x:c r="A14" s="12" t="n">
        <x:v>8</x:v>
      </x:c>
      <x:c r="B14" s="12" t="str">
        <x:v>User or business acceptance</x:v>
      </x:c>
      <x:c r="C14" s="12" t="str">
        <x:v>UNKNOWN</x:v>
      </x:c>
      <x:c r="D14" s="12" t="str">
        <x:v>Product owner</x:v>
      </x:c>
      <x:c r="E14" s="12" t="str">
        <x:v>Business acceptance retained when required</x:v>
      </x:c>
      <x:c r="F14" s="12" t="str">
        <x:v>No acceptance artifact is present in the fictional sampled package</x:v>
      </x:c>
      <x:c r="G14" s="12" t="str"/>
      <x:c r="H14" s="12" t="str"/>
      <x:c r="I14" s="12" t="str">
        <x:v>No source in the sampled package establishes whether acceptance occurred</x:v>
      </x:c>
      <x:c r="J14" s="12" t="str">
        <x:v>none</x:v>
      </x:c>
      <x:c r="K14" s="12" t="str">
        <x:v>Evidence absent; absence does not establish that acceptance did not happen</x:v>
      </x:c>
      <x:c r="L14" s="12" t="str">
        <x:v>Was acceptance required, and if so where is the authoritative record?</x:v>
      </x:c>
      <x:c r="M14" s="18"/>
      <x:c r="N14" s="12" t="str">
        <x:v>Developer</x:v>
      </x:c>
      <x:c r="O14" s="12" t="str">
        <x:v>Release approver</x:v>
      </x:c>
    </x:row>
    <x:row r="15" ht="70" customHeight="1">
      <x:c r="A15" s="12" t="n">
        <x:v>9</x:v>
      </x:c>
      <x:c r="B15" s="12" t="str">
        <x:v>Release authorization</x:v>
      </x:c>
      <x:c r="C15" s="12" t="str">
        <x:v>SUPPORTED</x:v>
      </x:c>
      <x:c r="D15" s="12" t="str">
        <x:v>Release approver</x:v>
      </x:c>
      <x:c r="E15" s="12" t="str">
        <x:v>Normal authorization unless exception criteria are met</x:v>
      </x:c>
      <x:c r="F15" s="12" t="str">
        <x:v>Fictional urgent-maintenance authorization cites user impact and time constraint; approver recorded</x:v>
      </x:c>
      <x:c r="G15" s="12" t="str">
        <x:v>EXC-041-17</x:v>
      </x:c>
      <x:c r="H15" s="12" t="str">
        <x:v>document</x:v>
      </x:c>
      <x:c r="I15" s="12" t="str">
        <x:v>Establishes fictional exception rationale and approval</x:v>
      </x:c>
      <x:c r="J15" s="12" t="str">
        <x:v>urgent</x:v>
      </x:c>
      <x:c r="K15" s="12" t="str"/>
      <x:c r="L15" s="12" t="str"/>
      <x:c r="M15" s="18"/>
      <x:c r="N15" s="12" t="str">
        <x:v>Product owner</x:v>
      </x:c>
      <x:c r="O15" s="12" t="str">
        <x:v>Operations</x:v>
      </x:c>
    </x:row>
    <x:row r="16" ht="70" customHeight="1">
      <x:c r="A16" s="12" t="n">
        <x:v>10</x:v>
      </x:c>
      <x:c r="B16" s="12" t="str">
        <x:v>Deployment or activation</x:v>
      </x:c>
      <x:c r="C16" s="12" t="str">
        <x:v>SUPPORTED</x:v>
      </x:c>
      <x:c r="D16" s="12" t="str">
        <x:v>Operations</x:v>
      </x:c>
      <x:c r="E16" s="12" t="str">
        <x:v>Authorized change activated with time and responsible role recorded</x:v>
      </x:c>
      <x:c r="F16" s="12" t="str">
        <x:v>Activation record identifies fictional version and activation timestamp</x:v>
      </x:c>
      <x:c r="G16" s="12" t="str">
        <x:v>DEP-041-17</x:v>
      </x:c>
      <x:c r="H16" s="12" t="str">
        <x:v>system record</x:v>
      </x:c>
      <x:c r="I16" s="12" t="str">
        <x:v>Establishes fictional activation event, version, and timestamp</x:v>
      </x:c>
      <x:c r="J16" s="12" t="str">
        <x:v>urgent</x:v>
      </x:c>
      <x:c r="K16" s="12" t="str"/>
      <x:c r="L16" s="12" t="str"/>
      <x:c r="M16" s="18"/>
      <x:c r="N16" s="12" t="str">
        <x:v>Release approver</x:v>
      </x:c>
      <x:c r="O16" s="12" t="str">
        <x:v>Operations</x:v>
      </x:c>
    </x:row>
    <x:row r="17" ht="70" customHeight="1">
      <x:c r="A17" s="12" t="n">
        <x:v>11</x:v>
      </x:c>
      <x:c r="B17" s="12" t="str">
        <x:v>Post-change validation</x:v>
      </x:c>
      <x:c r="C17" s="12" t="str">
        <x:v>PARTIAL</x:v>
      </x:c>
      <x:c r="D17" s="12" t="str">
        <x:v>Operations</x:v>
      </x:c>
      <x:c r="E17" s="12" t="str">
        <x:v>Defined success checks run after activation</x:v>
      </x:c>
      <x:c r="F17" s="12" t="str">
        <x:v>Validation note says looks good and records timestamp but no explicit success criteria or checked behavior</x:v>
      </x:c>
      <x:c r="G17" s="12" t="str">
        <x:v>VAL-041-17</x:v>
      </x:c>
      <x:c r="H17" s="12" t="str">
        <x:v>document</x:v>
      </x:c>
      <x:c r="I17" s="12" t="str">
        <x:v>Establishes that a fictional check was recorded, not what it proved</x:v>
      </x:c>
      <x:c r="J17" s="12" t="str">
        <x:v>urgent</x:v>
      </x:c>
      <x:c r="K17" s="12" t="str">
        <x:v>Success criteria are undefined</x:v>
      </x:c>
      <x:c r="L17" s="12" t="str">
        <x:v>Which checks were required, what results were observed, and what would have triggered rollback?</x:v>
      </x:c>
      <x:c r="M17" s="18"/>
      <x:c r="N17" s="12" t="str">
        <x:v>Operations</x:v>
      </x:c>
      <x:c r="O17" s="12" t="str">
        <x:v>Support</x:v>
      </x:c>
    </x:row>
    <x:row r="18" ht="70" customHeight="1">
      <x:c r="A18" s="12" t="n">
        <x:v>12</x:v>
      </x:c>
      <x:c r="B18" s="12" t="str">
        <x:v>Support handoff</x:v>
      </x:c>
      <x:c r="C18" s="12" t="str">
        <x:v>CONFLICT</x:v>
      </x:c>
      <x:c r="D18" s="12" t="str">
        <x:v>Support lead</x:v>
      </x:c>
      <x:c r="E18" s="12" t="str">
        <x:v>Support ownership, user-facing behavior, limitations, and documentation are current</x:v>
      </x:c>
      <x:c r="F18" s="12" t="str">
        <x:v>Interview says support article was ready before activation; fictional article metadata shows publication afterward</x:v>
      </x:c>
      <x:c r="G18" s="12" t="str">
        <x:v>INT-041-02;DOC-041-17</x:v>
      </x:c>
      <x:c r="H18" s="12" t="str">
        <x:v>interview;document</x:v>
      </x:c>
      <x:c r="I18" s="12" t="str">
        <x:v>Interview establishes a statement; metadata establishes fictional publication time</x:v>
      </x:c>
      <x:c r="J18" s="12" t="str">
        <x:v>urgent</x:v>
      </x:c>
      <x:c r="K18" s="12" t="str">
        <x:v>Timing of documentation readiness conflicts across sources</x:v>
      </x:c>
      <x:c r="L18" s="12" t="str">
        <x:v>Was a draft or internal note available before activation, and which record is authoritative?</x:v>
      </x:c>
      <x:c r="M18" s="18"/>
      <x:c r="N18" s="12" t="str">
        <x:v>Operations</x:v>
      </x:c>
      <x:c r="O18" s="12" t="str">
        <x:v>Support</x:v>
      </x:c>
    </x:row>
    <x:row r="19" ht="70" customHeight="1">
      <x:c r="A19" s="12" t="n">
        <x:v>13</x:v>
      </x:c>
      <x:c r="B19" s="12" t="str">
        <x:v>Follow-up and learning</x:v>
      </x:c>
      <x:c r="C19" s="12" t="str">
        <x:v>SUPPORTED</x:v>
      </x:c>
      <x:c r="D19" s="12" t="str">
        <x:v>Product owner</x:v>
      </x:c>
      <x:c r="E19" s="12" t="str">
        <x:v>Urgent exception receives follow-up and defects or actions are linked</x:v>
      </x:c>
      <x:c r="F19" s="12" t="str">
        <x:v>Follow-up records revised criterion decision and an action to clarify validation criteria for future urgent changes</x:v>
      </x:c>
      <x:c r="G19" s="12" t="str">
        <x:v>FUP-041-17</x:v>
      </x:c>
      <x:c r="H19" s="12" t="str">
        <x:v>document</x:v>
      </x:c>
      <x:c r="I19" s="12" t="str">
        <x:v>Establishes fictional follow-up decisions and actions; not later completion of the improvement action</x:v>
      </x:c>
      <x:c r="J19" s="12" t="str">
        <x:v>urgent</x:v>
      </x:c>
      <x:c r="K19" s="12" t="str"/>
      <x:c r="L19" s="12" t="str">
        <x:v>Where will completion evidence for the improvement action be retained?</x:v>
      </x:c>
      <x:c r="M19" s="18"/>
      <x:c r="N19" s="12" t="str">
        <x:v>Support</x:v>
      </x:c>
      <x:c r="O19" s="12" t="str">
        <x:v>Product owner</x:v>
      </x:c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</x:sheetData>
  <x:conditionalFormatting sqref="C7:C19">
    <x:cfRule type="containsText" dxfId="1" priority="1" operator="containsText" text="UNKNOWN"/>
    <x:cfRule type="containsText" dxfId="2" priority="2" operator="containsText" text="CONFLICT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46" hidden="0" customWidth="1"/>
    <x:col min="3" max="3" width="25" hidden="0" customWidth="1"/>
    <x:col min="4" max="4" width="25" hidden="0" customWidth="1"/>
    <x:col min="5" max="5" width="25" hidden="0" customWidth="1"/>
    <x:col min="6" max="6" width="22" hidden="0" customWidth="1"/>
    <x:col min="7" max="7" width="22" hidden="0" customWidth="1"/>
    <x:col min="8" max="8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Source timing and stated intervals</x:v>
      </x:c>
      <x:c r="B2" s="5"/>
      <x:c r="C2" s="5"/>
      <x:c r="D2" s="5"/>
      <x:c r="E2" s="5"/>
      <x:c r="F2" s="5"/>
      <x:c r="G2" s="5"/>
      <x:c r="H2" s="5"/>
    </x:row>
    <x:row r="3">
      <x:c r="A3" s="2" t="str">
        <x:v>Source: repaired 041 synthetic trace, Git blob 9d0de446e5b0c73945b717abc0b76fb58951e45d. Original offset-qualified timestamp strings remain in the CSV and JSON report.</x:v>
      </x:c>
      <x:c r="B3" s="2"/>
      <x:c r="C3" s="2"/>
      <x:c r="D3" s="2"/>
      <x:c r="E3" s="2"/>
      <x:c r="F3" s="2"/>
      <x:c r="G3" s="2"/>
      <x:c r="H3" s="2"/>
    </x:row>
    <x:row r="4">
      <x:c r="A4" s="2" t="str">
        <x:v>UTC date cells are typed copies of those original timestamps. Source active_hours is an elapsed span label; it does not establish labor effort.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8" customHeight="1">
      <x:c r="A6" s="11" t="str">
        <x:v>Stage</x:v>
      </x:c>
      <x:c r="B6" s="11" t="str">
        <x:v>Name</x:v>
      </x:c>
      <x:c r="C6" s="11" t="str">
        <x:v>Queue entry (UTC)</x:v>
      </x:c>
      <x:c r="D6" s="11" t="str">
        <x:v>Work start (UTC)</x:v>
      </x:c>
      <x:c r="E6" s="11" t="str">
        <x:v>Work end (UTC)</x:v>
      </x:c>
      <x:c r="F6" s="11" t="str">
        <x:v>Stated queue hours</x:v>
      </x:c>
      <x:c r="G6" s="11" t="str">
        <x:v>Stated active_hours</x:v>
      </x:c>
      <x:c r="H6" s="11" t="str">
        <x:v>Evidence reference</x:v>
      </x:c>
    </x:row>
    <x:row r="7" ht="45" customHeight="1">
      <x:c r="A7" s="12" t="n">
        <x:v>1</x:v>
      </x:c>
      <x:c r="B7" s="12" t="str">
        <x:v>Intake</x:v>
      </x:c>
      <x:c r="C7" s="14" t="n">
        <x:v>46237.59166666667</x:v>
      </x:c>
      <x:c r="D7" s="14" t="n">
        <x:v>46237.59722222222</x:v>
      </x:c>
      <x:c r="E7" s="14" t="n">
        <x:v>46237.60486111111</x:v>
      </x:c>
      <x:c r="F7" s="17" t="n">
        <x:v>0.13</x:v>
      </x:c>
      <x:c r="G7" s="17" t="n">
        <x:v>0.18</x:v>
      </x:c>
      <x:c r="H7" s="12" t="str">
        <x:v>RQ-041-17</x:v>
      </x:c>
    </x:row>
    <x:row r="8" ht="45" customHeight="1">
      <x:c r="A8" s="12" t="n">
        <x:v>2</x:v>
      </x:c>
      <x:c r="B8" s="12" t="str">
        <x:v>Triage</x:v>
      </x:c>
      <x:c r="C8" s="14" t="n">
        <x:v>46237.60486111111</x:v>
      </x:c>
      <x:c r="D8" s="14" t="n">
        <x:v>46237.75</x:v>
      </x:c>
      <x:c r="E8" s="14" t="n">
        <x:v>46237.7625</x:v>
      </x:c>
      <x:c r="F8" s="17" t="n">
        <x:v>3.48</x:v>
      </x:c>
      <x:c r="G8" s="17" t="n">
        <x:v>0.3</x:v>
      </x:c>
      <x:c r="H8" s="12" t="str">
        <x:v>TRIAGE-041-17</x:v>
      </x:c>
    </x:row>
    <x:row r="9" ht="45" customHeight="1">
      <x:c r="A9" s="12" t="n">
        <x:v>3</x:v>
      </x:c>
      <x:c r="B9" s="12" t="str">
        <x:v>Need and acceptance</x:v>
      </x:c>
      <x:c r="C9" s="14" t="n">
        <x:v>46237.7625</x:v>
      </x:c>
      <x:c r="D9" s="14" t="n">
        <x:v>46238.59027777778</x:v>
      </x:c>
      <x:c r="E9" s="14" t="n">
        <x:v>46238.625</x:v>
      </x:c>
      <x:c r="F9" s="17" t="n">
        <x:v>19.87</x:v>
      </x:c>
      <x:c r="G9" s="17" t="n">
        <x:v>0.83</x:v>
      </x:c>
      <x:c r="H9" s="12" t="str">
        <x:v>AC-041-17</x:v>
      </x:c>
    </x:row>
    <x:row r="10" ht="45" customHeight="1">
      <x:c r="A10" s="12" t="n">
        <x:v>4</x:v>
      </x:c>
      <x:c r="B10" s="12" t="str">
        <x:v>Design</x:v>
      </x:c>
      <x:c r="C10" s="14" t="n">
        <x:v>46238.625</x:v>
      </x:c>
      <x:c r="D10" s="14" t="n">
        <x:v>46238.63888888889</x:v>
      </x:c>
      <x:c r="E10" s="14" t="n">
        <x:v>46238.67013888889</x:v>
      </x:c>
      <x:c r="F10" s="17" t="n">
        <x:v>0.33</x:v>
      </x:c>
      <x:c r="G10" s="17" t="n">
        <x:v>0.75</x:v>
      </x:c>
      <x:c r="H10" s="12" t="str">
        <x:v>DES-041-17</x:v>
      </x:c>
    </x:row>
    <x:row r="11" ht="45" customHeight="1">
      <x:c r="A11" s="12" t="n">
        <x:v>5</x:v>
      </x:c>
      <x:c r="B11" s="12" t="str">
        <x:v>Implementation</x:v>
      </x:c>
      <x:c r="C11" s="14" t="n">
        <x:v>46238.67013888889</x:v>
      </x:c>
      <x:c r="D11" s="14" t="n">
        <x:v>46238.760416666664</x:v>
      </x:c>
      <x:c r="E11" s="14" t="n">
        <x:v>46239.65416666667</x:v>
      </x:c>
      <x:c r="F11" s="17" t="n">
        <x:v>2.17</x:v>
      </x:c>
      <x:c r="G11" s="17" t="n">
        <x:v>21.45</x:v>
      </x:c>
      <x:c r="H11" s="12" t="str">
        <x:v>CHG-041-17</x:v>
      </x:c>
    </x:row>
    <x:row r="12" ht="45" customHeight="1">
      <x:c r="A12" s="12" t="n">
        <x:v>6</x:v>
      </x:c>
      <x:c r="B12" s="12" t="str">
        <x:v>Peer review</x:v>
      </x:c>
      <x:c r="C12" s="14" t="n">
        <x:v>46239.65416666667</x:v>
      </x:c>
      <x:c r="D12" s="14" t="n">
        <x:v>46239.67361111111</x:v>
      </x:c>
      <x:c r="E12" s="14" t="n">
        <x:v>46239.751388888886</x:v>
      </x:c>
      <x:c r="F12" s="17" t="n">
        <x:v>0.47</x:v>
      </x:c>
      <x:c r="G12" s="17" t="n">
        <x:v>1.87</x:v>
      </x:c>
      <x:c r="H12" s="12" t="str">
        <x:v>REV-041-17</x:v>
      </x:c>
    </x:row>
    <x:row r="13" ht="45" customHeight="1">
      <x:c r="A13" s="12" t="n">
        <x:v>7</x:v>
      </x:c>
      <x:c r="B13" s="12" t="str">
        <x:v>Verification</x:v>
      </x:c>
      <x:c r="C13" s="14" t="n">
        <x:v>46239.751388888886</x:v>
      </x:c>
      <x:c r="D13" s="14" t="n">
        <x:v>46239.75555555556</x:v>
      </x:c>
      <x:c r="E13" s="14" t="n">
        <x:v>46239.794444444444</x:v>
      </x:c>
      <x:c r="F13" s="17" t="n">
        <x:v>0.1</x:v>
      </x:c>
      <x:c r="G13" s="17" t="n">
        <x:v>0.93</x:v>
      </x:c>
      <x:c r="H13" s="12" t="str">
        <x:v>TEST-041-17</x:v>
      </x:c>
    </x:row>
    <x:row r="14" ht="45" customHeight="1">
      <x:c r="A14" s="12" t="n">
        <x:v>8</x:v>
      </x:c>
      <x:c r="B14" s="12" t="str">
        <x:v>User or business acceptance</x:v>
      </x:c>
      <x:c r="C14" s="14"/>
      <x:c r="D14" s="14"/>
      <x:c r="E14" s="14"/>
      <x:c r="F14" s="17"/>
      <x:c r="G14" s="17"/>
      <x:c r="H14" s="12" t="str"/>
    </x:row>
    <x:row r="15" ht="45" customHeight="1">
      <x:c r="A15" s="12" t="n">
        <x:v>9</x:v>
      </x:c>
      <x:c r="B15" s="12" t="str">
        <x:v>Release authorization</x:v>
      </x:c>
      <x:c r="C15" s="14" t="n">
        <x:v>46239.794444444444</x:v>
      </x:c>
      <x:c r="D15" s="14" t="n">
        <x:v>46239.805555555555</x:v>
      </x:c>
      <x:c r="E15" s="14" t="n">
        <x:v>46239.811111111114</x:v>
      </x:c>
      <x:c r="F15" s="17" t="n">
        <x:v>0.27</x:v>
      </x:c>
      <x:c r="G15" s="17" t="n">
        <x:v>0.13</x:v>
      </x:c>
      <x:c r="H15" s="12" t="str">
        <x:v>EXC-041-17</x:v>
      </x:c>
    </x:row>
    <x:row r="16" ht="45" customHeight="1">
      <x:c r="A16" s="12" t="n">
        <x:v>10</x:v>
      </x:c>
      <x:c r="B16" s="12" t="str">
        <x:v>Deployment or activation</x:v>
      </x:c>
      <x:c r="C16" s="14" t="n">
        <x:v>46239.811111111114</x:v>
      </x:c>
      <x:c r="D16" s="14" t="n">
        <x:v>46239.813888888886</x:v>
      </x:c>
      <x:c r="E16" s="14" t="n">
        <x:v>46239.82013888889</x:v>
      </x:c>
      <x:c r="F16" s="17" t="n">
        <x:v>0.07</x:v>
      </x:c>
      <x:c r="G16" s="17" t="n">
        <x:v>0.15</x:v>
      </x:c>
      <x:c r="H16" s="12" t="str">
        <x:v>DEP-041-17</x:v>
      </x:c>
    </x:row>
    <x:row r="17" ht="45" customHeight="1">
      <x:c r="A17" s="12" t="n">
        <x:v>11</x:v>
      </x:c>
      <x:c r="B17" s="12" t="str">
        <x:v>Post-change validation</x:v>
      </x:c>
      <x:c r="C17" s="14" t="n">
        <x:v>46239.82013888889</x:v>
      </x:c>
      <x:c r="D17" s="14" t="n">
        <x:v>46239.82152777778</x:v>
      </x:c>
      <x:c r="E17" s="14" t="n">
        <x:v>46239.825</x:v>
      </x:c>
      <x:c r="F17" s="17" t="n">
        <x:v>0.03</x:v>
      </x:c>
      <x:c r="G17" s="17" t="n">
        <x:v>0.08</x:v>
      </x:c>
      <x:c r="H17" s="12" t="str">
        <x:v>VAL-041-17</x:v>
      </x:c>
    </x:row>
    <x:row r="18" ht="45" customHeight="1">
      <x:c r="A18" s="12" t="n">
        <x:v>12</x:v>
      </x:c>
      <x:c r="B18" s="12" t="str">
        <x:v>Support handoff</x:v>
      </x:c>
      <x:c r="C18" s="14" t="n">
        <x:v>46239.825</x:v>
      </x:c>
      <x:c r="D18" s="14" t="n">
        <x:v>46239.82638888889</x:v>
      </x:c>
      <x:c r="E18" s="14" t="n">
        <x:v>46239.84166666667</x:v>
      </x:c>
      <x:c r="F18" s="17" t="n">
        <x:v>0.03</x:v>
      </x:c>
      <x:c r="G18" s="17" t="n">
        <x:v>0.37</x:v>
      </x:c>
      <x:c r="H18" s="12" t="str">
        <x:v>INT-041-02;DOC-041-17</x:v>
      </x:c>
    </x:row>
    <x:row r="19" ht="45" customHeight="1">
      <x:c r="A19" s="12" t="n">
        <x:v>13</x:v>
      </x:c>
      <x:c r="B19" s="12" t="str">
        <x:v>Follow-up and learning</x:v>
      </x:c>
      <x:c r="C19" s="14" t="n">
        <x:v>46239.84166666667</x:v>
      </x:c>
      <x:c r="D19" s="14" t="n">
        <x:v>46240.583333333336</x:v>
      </x:c>
      <x:c r="E19" s="14" t="n">
        <x:v>46240.60555555556</x:v>
      </x:c>
      <x:c r="F19" s="17" t="n">
        <x:v>17.8</x:v>
      </x:c>
      <x:c r="G19" s="17" t="n">
        <x:v>0.53</x:v>
      </x:c>
      <x:c r="H19" s="12" t="str">
        <x:v>FUP-041-17</x:v>
      </x:c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</x:sheetData>
  <x:pageMargins left="0.7" right="0.7" top="0.75" bottom="0.75" header="0.3" footer="0.3"/>
</x:worksheet>
</file>