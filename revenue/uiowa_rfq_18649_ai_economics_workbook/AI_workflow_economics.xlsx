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df837b973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ics" sheetId="1" r:id="R09d35b08149b4b50"/>
    <x:sheet xmlns:r="http://schemas.openxmlformats.org/officeDocument/2006/relationships" name="Inputs" sheetId="2" r:id="R57ff629534d24f80"/>
    <x:sheet xmlns:r="http://schemas.openxmlformats.org/officeDocument/2006/relationships" name="Sensitivity" sheetId="3" r:id="Rb473cb0fe98542d6"/>
    <x:sheet xmlns:r="http://schemas.openxmlformats.org/officeDocument/2006/relationships" name="Range bounds" sheetId="4" r:id="R7ac17ffd65da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&quot;-&quot;"/>
    <x:numFmt numFmtId="201" formatCode="0.0%"/>
  </x:numFmts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sz val="16"/>
      <x:color rgb="FFFFFFFF"/>
      <x:name val="Arial"/>
    </x:font>
    <x:font>
      <x:sz val="10"/>
      <x:color rgb="FF1454A3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20724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34A"/>
      </x:patternFill>
    </x:fill>
    <x:fill>
      <x:patternFill patternType="solid">
        <x:fgColor rgb="FFFFF2CC"/>
      </x:patternFill>
    </x:fill>
    <x:fill>
      <x:patternFill patternType="solid">
        <x:fgColor rgb="FFE7EDF2"/>
      </x:patternFill>
    </x:fill>
    <x:fill>
      <x:patternFill patternType="solid">
        <x:fgColor rgb="FFFFF8DE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7cf38e9704f4c" /><Relationship Type="http://schemas.openxmlformats.org/officeDocument/2006/relationships/theme" Target="/xl/theme/theme1.xml" Id="R5bb95ffdeab44845" /><Relationship Type="http://schemas.openxmlformats.org/officeDocument/2006/relationships/sharedStrings" Target="/xl/sharedStrings.xml" Id="R65fab27b7b9347c9" /><Relationship Type="http://schemas.openxmlformats.org/officeDocument/2006/relationships/worksheet" Target="/xl/worksheets/sheet1.xml" Id="R09d35b08149b4b50" /><Relationship Type="http://schemas.openxmlformats.org/officeDocument/2006/relationships/worksheet" Target="/xl/worksheets/sheet2.xml" Id="R57ff629534d24f80" /><Relationship Type="http://schemas.openxmlformats.org/officeDocument/2006/relationships/worksheet" Target="/xl/worksheets/sheet3.xml" Id="Rb473cb0fe98542d6" /><Relationship Type="http://schemas.openxmlformats.org/officeDocument/2006/relationships/worksheet" Target="/xl/worksheets/sheet4.xml" Id="R7ac17ffd65da49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5" hidden="0" customWidth="1"/>
    <x:col min="3" max="3" width="65" hidden="0" customWidth="1"/>
    <x:col min="4" max="4" width="18" hidden="0" customWidth="1"/>
  </x:cols>
  <x:sheetData>
    <x:row r="1" ht="21" customHeight="1">
      <x:c r="A1" s="6" t="str">
        <x:v>AI workflow economics</x:v>
      </x:c>
      <x:c r="B1" s="5"/>
      <x:c r="C1" s="5"/>
      <x:c r="D1" s="5"/>
    </x:row>
    <x:row r="2" ht="21" customHeight="1">
      <x:c r="A2" s="5"/>
      <x:c r="B2" s="5"/>
      <x:c r="C2" s="5"/>
      <x:c r="D2" s="5"/>
    </x:row>
    <x:row r="3" ht="21" customHeight="1">
      <x:c r="A3" s="3"/>
      <x:c r="B3" s="3"/>
      <x:c r="C3" s="3"/>
      <x:c r="D3" s="3"/>
    </x:row>
    <x:row r="4" ht="21" customHeight="1">
      <x:c r="A4" s="3" t="str">
        <x:v>Case selected</x:v>
      </x:c>
      <x:c r="B4" s="20" t="str">
        <x:f>INDEX('Inputs'!$E$4:$E$7,'Inputs'!$B$4)</x:f>
        <x:v>SYN-ESS-DOCS</x:v>
      </x:c>
      <x:c r="C4" s="3"/>
      <x:c r="D4" s="3"/>
    </x:row>
    <x:row r="5" ht="21" customHeight="1">
      <x:c r="A5" s="3" t="str">
        <x:v>Horizon months</x:v>
      </x:c>
      <x:c r="B5" s="3" t="n">
        <x:f>'Inputs'!B5</x:f>
        <x:v>12</x:v>
      </x:c>
      <x:c r="C5" s="3"/>
      <x:c r="D5" s="3"/>
    </x:row>
    <x:row r="6" ht="21" customHeight="1">
      <x:c r="A6" s="3" t="str">
        <x:v>Currency</x:v>
      </x:c>
      <x:c r="B6" s="3" t="str">
        <x:f>'Inputs'!B6</x:f>
        <x:v>USD</x:v>
      </x:c>
      <x:c r="C6" s="3"/>
      <x:c r="D6" s="3"/>
    </x:row>
    <x:row r="7" ht="21" customHeight="1">
      <x:c r="A7" s="3" t="str">
        <x:v>Result basis</x:v>
      </x:c>
      <x:c r="B7" s="3" t="str">
        <x:v>MODELED_NOT_OBSERVED</x:v>
      </x:c>
      <x:c r="C7" s="3"/>
      <x:c r="D7" s="3"/>
    </x:row>
    <x:row r="8" ht="21" customHeight="1">
      <x:c r="A8" s="3"/>
      <x:c r="B8" s="3"/>
      <x:c r="C8" s="3"/>
      <x:c r="D8" s="3"/>
    </x:row>
    <x:row r="9" ht="30" customHeight="1">
      <x:c r="A9" s="11" t="str">
        <x:v>Metric</x:v>
      </x:c>
      <x:c r="B9" s="11" t="str">
        <x:v>Base result</x:v>
      </x:c>
      <x:c r="C9" s="11" t="str">
        <x:v>Meaning</x:v>
      </x:c>
      <x:c r="D9" s="3"/>
    </x:row>
    <x:row r="10" ht="30" customHeight="1">
      <x:c r="A10" s="3" t="str">
        <x:v>Assisted tasks / month</x:v>
      </x:c>
      <x:c r="B10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'Inputs'!D12*'Inputs'!D18,"UNKNOWN")</x:f>
        <x:v>320</x:v>
      </x:c>
      <x:c r="C10" s="24" t="str">
        <x:v>All attempts, including unsuccessful outputs</x:v>
      </x:c>
      <x:c r="D10" s="3"/>
    </x:row>
    <x:row r="11" ht="30" customHeight="1">
      <x:c r="A11" s="3" t="str">
        <x:v>Baseline hours / month</x:v>
      </x:c>
      <x:c r="B11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B10*'Inputs'!D24/60,"UNKNOWN")</x:f>
        <x:v>213.33333333333334</x:v>
      </x:c>
      <x:c r="C11" s="24" t="str">
        <x:v>Comparable accepted output</x:v>
      </x:c>
      <x:c r="D11" s="3"/>
    </x:row>
    <x:row r="12" ht="30" customHeight="1">
      <x:c r="A12" s="3" t="str">
        <x:v>Assisted hours / month</x:v>
      </x:c>
      <x:c r="B12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B10*('Inputs'!D30+'Inputs'!D36+'Inputs'!D42*'Inputs'!D48)/60,"UNKNOWN")</x:f>
        <x:v>81.33333333333333</x:v>
      </x:c>
      <x:c r="C12" s="24" t="str">
        <x:v>Authoring, verification and repair</x:v>
      </x:c>
      <x:c r="D12" s="3"/>
    </x:row>
    <x:row r="13" ht="30" customHeight="1">
      <x:c r="A13" s="3" t="str">
        <x:v>Net capacity hours / month</x:v>
      </x:c>
      <x:c r="B13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B11-B12-'Inputs'!D84-'Inputs'!D90,"UNKNOWN")</x:f>
        <x:v>129</x:v>
      </x:c>
      <x:c r="C13" s="24" t="str">
        <x:v>Includes recurring support and maintenance</x:v>
      </x:c>
      <x:c r="D13" s="3"/>
    </x:row>
    <x:row r="14" ht="30" customHeight="1">
      <x:c r="A14" s="3" t="str">
        <x:v>Net capacity hours / horizon</x:v>
      </x:c>
      <x:c r="B14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'Inputs'!$B$5*B13-'Inputs'!D72,"UNKNOWN")</x:f>
        <x:v>1530</x:v>
      </x:c>
      <x:c r="C14" s="24" t="str">
        <x:v>Signed capacity after initial integration</x:v>
      </x:c>
      <x:c r="D14" s="3"/>
    </x:row>
    <x:row r="15" ht="30" customHeight="1">
      <x:c r="A15" s="3" t="str">
        <x:v>External cash / month</x:v>
      </x:c>
      <x:c r="B15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B10*'Inputs'!D54*'Inputs'!D60+'Inputs'!D96,"UNKNOWN")</x:f>
        <x:v>59</x:v>
      </x:c>
      <x:c r="C15" s="24" t="str">
        <x:v>Generation and fixed platform costs</x:v>
      </x:c>
      <x:c r="D15" s="3"/>
    </x:row>
    <x:row r="16" ht="30" customHeight="1">
      <x:c r="A16" s="3" t="str">
        <x:v>External cash / horizon</x:v>
      </x:c>
      <x:c r="B16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'Inputs'!$B$5*B15+'Inputs'!D78,"UNKNOWN")</x:f>
        <x:v>858</x:v>
      </x:c>
      <x:c r="C16" s="24" t="str">
        <x:v>Includes setup cash</x:v>
      </x:c>
      <x:c r="D16" s="3"/>
    </x:row>
    <x:row r="17" ht="30" customHeight="1">
      <x:c r="A17" s="3" t="str">
        <x:v>One-time economic cost</x:v>
      </x:c>
      <x:c r="B17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'Inputs'!D72*'Inputs'!D66+'Inputs'!D78,"UNKNOWN")</x:f>
        <x:v>1230</x:v>
      </x:c>
      <x:c r="C17" s="24" t="str">
        <x:v>Integration capacity value plus setup cash</x:v>
      </x:c>
      <x:c r="D17" s="3"/>
    </x:row>
    <x:row r="18" ht="30" customHeight="1">
      <x:c r="A18" s="3" t="str">
        <x:v>Economic net / month</x:v>
      </x:c>
      <x:c r="B18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B13*'Inputs'!D66-B15,"UNKNOWN")</x:f>
        <x:v>7681</x:v>
      </x:c>
      <x:c r="C18" s="24" t="str">
        <x:v>Opportunity value after external cash</x:v>
      </x:c>
      <x:c r="D18" s="3"/>
    </x:row>
    <x:row r="19" ht="30" customHeight="1">
      <x:c r="A19" s="3" t="str">
        <x:v>Economic net / horizon</x:v>
      </x:c>
      <x:c r="B19" s="16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'Inputs'!$B$5*B18-B17,"UNKNOWN")</x:f>
        <x:v>90942</x:v>
      </x:c>
      <x:c r="C19" s="24" t="str">
        <x:v>Capacity valuation, not observed cash savings</x:v>
      </x:c>
      <x:c r="D19" s="3"/>
    </x:row>
    <x:row r="20" ht="30" customHeight="1">
      <x:c r="A20" s="3" t="str">
        <x:v>Cash conversion net / horizon</x:v>
      </x:c>
      <x:c r="B20" s="16" t="n">
        <x:f>IF(AND(COUNT('Inputs'!D12,'Inputs'!D18,'Inputs'!D24,'Inputs'!D30,'Inputs'!D36,'Inputs'!D42,'Inputs'!D48,'Inputs'!D54,'Inputs'!D60,'Inputs'!D66,'Inputs'!D72,'Inputs'!D78,'Inputs'!D84,'Inputs'!D90,'Inputs'!D96,'Inputs'!D102)=16,ISNUMBER('Inputs'!$B$5),'Inputs'!$B$5&gt;0,INT('Inputs'!$B$5)='Inputs'!$B$5),B14*'Inputs'!D66*'Inputs'!D102-B16,"UNKNOWN")</x:f>
        <x:v>-858</x:v>
      </x:c>
      <x:c r="C20" s="24" t="str">
        <x:v>Uses the explicit signed cash-conversion assumption</x:v>
      </x:c>
      <x:c r="D20" s="3"/>
    </x:row>
    <x:row r="21" ht="30" customHeight="1">
      <x:c r="A21" s="3" t="str">
        <x:v>Economic margin / assisted task</x:v>
      </x:c>
      <x:c r="B21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('Inputs'!D24-'Inputs'!D30-'Inputs'!D36-'Inputs'!D42*'Inputs'!D48)*'Inputs'!D66/60-'Inputs'!D54*'Inputs'!D60,"UNKNOWN")</x:f>
        <x:v>24.675</x:v>
      </x:c>
      <x:c r="C21" s="24" t="str">
        <x:v>Negative margin cannot be cured by volume</x:v>
      </x:c>
      <x:c r="D21" s="3"/>
    </x:row>
    <x:row r="22" ht="30" customHeight="1">
      <x:c r="A22" s="3" t="str">
        <x:v>Fixed economic cost / month</x:v>
      </x:c>
      <x:c r="B22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('Inputs'!D84+'Inputs'!D90)*'Inputs'!D66+'Inputs'!D96,"UNKNOWN")</x:f>
        <x:v>215</x:v>
      </x:c>
      <x:c r="C22" s="24" t="str">
        <x:v>Support, maintenance and fixed cash</x:v>
      </x:c>
      <x:c r="D22" s="3"/>
    </x:row>
    <x:row r="23" ht="30" customHeight="1">
      <x:c r="A23" s="3"/>
      <x:c r="B23" s="22"/>
      <x:c r="C23" s="24"/>
      <x:c r="D23" s="3"/>
    </x:row>
    <x:row r="24" ht="30" customHeight="1">
      <x:c r="A24" s="3"/>
      <x:c r="B24" s="22"/>
      <x:c r="C24" s="24"/>
      <x:c r="D24" s="3"/>
    </x:row>
    <x:row r="25" ht="30" customHeight="1">
      <x:c r="A25" s="11" t="str">
        <x:v>Break-even</x:v>
      </x:c>
      <x:c r="B25" s="23" t="str">
        <x:v>Base result</x:v>
      </x:c>
      <x:c r="C25" s="23" t="str">
        <x:v>Interpretation</x:v>
      </x:c>
      <x:c r="D25" s="3"/>
    </x:row>
    <x:row r="26" ht="30" customHeight="1">
      <x:c r="A26" s="3" t="str">
        <x:v>Assisted tasks / month</x:v>
      </x:c>
      <x:c r="B26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IF(B21&gt;0,(B22+B17/'Inputs'!$B$5)/B21,IF(AND(B21=0,B22+B17/'Inputs'!$B$5=0),0,"n.a.")),"UNKNOWN")</x:f>
        <x:v>12.867274569402229</x:v>
      </x:c>
      <x:c r="C26" s="24" t="str">
        <x:v>Exact threshold</x:v>
      </x:c>
      <x:c r="D26" s="3"/>
    </x:row>
    <x:row r="27" ht="30" customHeight="1">
      <x:c r="A27" s="3" t="str">
        <x:v>Whole assisted tasks / month</x:v>
      </x:c>
      <x:c r="B27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IF(ISNUMBER(B26),ROUNDUP(B26,0),"n.a."),"UNKNOWN")</x:f>
        <x:v>13</x:v>
      </x:c>
      <x:c r="C27" s="24" t="str">
        <x:v>Ceiling of the exact threshold</x:v>
      </x:c>
      <x:c r="D27" s="3"/>
    </x:row>
    <x:row r="28" ht="30" customHeight="1">
      <x:c r="A28" s="3" t="str">
        <x:v>Required adoption fraction</x:v>
      </x:c>
      <x:c r="B28" s="21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IF(AND(ISNUMBER(B26),'Inputs'!D12&gt;0),B26/'Inputs'!D12,"n.a."),"UNKNOWN")</x:f>
        <x:v>0.03216818642350557</x:v>
      </x:c>
      <x:c r="C28" s="24" t="str">
        <x:v>Above 100% is unattainable at current volume</x:v>
      </x:c>
      <x:c r="D28" s="3"/>
    </x:row>
    <x:row r="29" ht="30" customHeight="1">
      <x:c r="A29" s="3" t="str">
        <x:v>Maximum checking minutes</x:v>
      </x:c>
      <x:c r="B29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IF(AND(B10&gt;0,'Inputs'!D66&gt;0),'Inputs'!D24-'Inputs'!D30-'Inputs'!D42*'Inputs'!D48-60/'Inputs'!D66*('Inputs'!D54*'Inputs'!D60+(B22+B17/'Inputs'!$B$5)/B10),"n.a."),"UNKNOWN")</x:f>
        <x:v>30.6828125</x:v>
      </x:c>
      <x:c r="C29" s="24" t="str">
        <x:v>A negative result cannot justify skipping required checks</x:v>
      </x:c>
      <x:c r="D29" s="3"/>
    </x:row>
    <x:row r="30" ht="30" customHeight="1">
      <x:c r="A30" s="3" t="str">
        <x:v>Simple payback months</x:v>
      </x:c>
      <x:c r="B30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IF(B18&gt;0,B17/B18,IF(AND(B17=0,B18=0),0,"n.a.")),"UNKNOWN")</x:f>
        <x:v>0.16013539903658378</x:v>
      </x:c>
      <x:c r="C30" s="24" t="str">
        <x:v>Steady-state economic payback, not cash payback</x:v>
      </x:c>
      <x:c r="D30" s="3"/>
    </x:row>
    <x:row r="31" ht="21" customHeight="1">
      <x:c r="A31" s="3"/>
      <x:c r="B31" s="22"/>
      <x:c r="C31" s="22"/>
      <x:c r="D31" s="3"/>
    </x:row>
    <x:row r="32" ht="21" customHeight="1">
      <x:c r="A32" s="3"/>
      <x:c r="B32" s="22"/>
      <x:c r="C32" s="22"/>
      <x:c r="D32" s="3"/>
    </x:row>
    <x:row r="33" ht="30" customHeight="1">
      <x:c r="A33" s="11" t="str">
        <x:v>Independent ranges</x:v>
      </x:c>
      <x:c r="B33" s="23" t="str">
        <x:v>Minimum</x:v>
      </x:c>
      <x:c r="C33" s="23" t="str">
        <x:v>Maximum</x:v>
      </x:c>
      <x:c r="D33" s="3"/>
    </x:row>
    <x:row r="34" ht="21" customHeight="1">
      <x:c r="A34" s="3" t="str">
        <x:v>Economic net / horizon</x:v>
      </x:c>
      <x:c r="B34" s="22" t="n">
        <x:f>IF(COUNT('Range bounds'!R6:R37)=32,MIN('Range bounds'!R6:R37),"UNKNOWN")</x:f>
        <x:v>11996.8</x:v>
      </x:c>
      <x:c r="C34" s="22" t="n">
        <x:f>IF(COUNT('Range bounds'!R6:R37)=32,MAX('Range bounds'!R6:R37),"UNKNOWN")</x:f>
        <x:v>242678</x:v>
      </x:c>
      <x:c r="D34" s="3"/>
    </x:row>
    <x:row r="35" ht="21" customHeight="1">
      <x:c r="A35" s="3" t="str">
        <x:v>Cash conversion net / horizon</x:v>
      </x:c>
      <x:c r="B35" s="22" t="n">
        <x:f>IF(COUNT('Range bounds'!S6:S37)=32,MIN('Range bounds'!S6:S37),"UNKNOWN")</x:f>
        <x:v>-1664</x:v>
      </x:c>
      <x:c r="C35" s="22" t="n">
        <x:f>IF(COUNT('Range bounds'!S6:S37)=32,MAX('Range bounds'!S6:S37),"UNKNOWN")</x:f>
        <x:v>-415.6</x:v>
      </x:c>
      <x:c r="D35" s="3"/>
    </x:row>
    <x:row r="36" ht="21" customHeight="1">
      <x:c r="A36" s="3"/>
      <x:c r="B36" s="3"/>
      <x:c r="C36" s="3"/>
      <x:c r="D36" s="3"/>
    </x:row>
    <x:row r="37" ht="21" customHeight="1">
      <x:c r="A37" s="3"/>
      <x:c r="B37" s="3"/>
      <x:c r="C37" s="3"/>
      <x:c r="D37" s="3"/>
    </x:row>
    <x:row r="38" ht="26" customHeight="1">
      <x:c r="A38" s="3" t="str">
        <x:v>Range assumptions are independent bounds, not probabilities or confidence intervals.</x:v>
      </x:c>
      <x:c r="B38" s="3"/>
      <x:c r="C38" s="3"/>
      <x:c r="D38" s="3"/>
    </x:row>
    <x:row r="39" ht="26" customHeight="1">
      <x:c r="A39" s="3" t="str">
        <x:v>Select each of the four cases in Inputs. All active formulas, sensitivities and ranges recalculate.</x:v>
      </x:c>
      <x:c r="B39" s="3"/>
      <x:c r="C39" s="3"/>
      <x:c r="D39" s="3"/>
    </x:row>
    <x:row r="40" ht="26" customHeight="1">
      <x:c r="A40" s="3" t="str">
        <x:v>Keep capacity value separate from cash. All supplied cases are fictional training assumptions.</x:v>
      </x:c>
      <x:c r="B40" s="3"/>
      <x:c r="C40" s="3"/>
      <x:c r="D40" s="3"/>
    </x:row>
    <x:row r="41" ht="26" customHeight="1">
      <x:c r="A41" s="3" t="str">
        <x:v>Export edited inputs to the canonical calculator for exact-decimal reports and comparison of all cases.</x:v>
      </x:c>
      <x:c r="B41" s="3"/>
      <x:c r="C41" s="3"/>
      <x:c r="D41" s="3"/>
    </x:row>
    <x:row r="42" ht="26" customHeight="1">
      <x:c r="A42" s="3" t="str">
        <x:v>Blue cells are editable inputs. Blank measurements remain UNKNOWN; explicit zero remains zero.</x:v>
      </x:c>
      <x:c r="B42" s="3"/>
      <x:c r="C42" s="3"/>
      <x:c r="D42" s="3"/>
    </x:row>
    <x:row r="43" ht="21" customHeight="1">
      <x:c r="A43" s="3"/>
      <x:c r="B43" s="3"/>
      <x:c r="C43" s="3"/>
      <x:c r="D43" s="3"/>
    </x:row>
    <x:row r="44" ht="21" customHeight="1">
      <x:c r="A44" s="3"/>
      <x:c r="B44" s="3"/>
      <x:c r="C44" s="3"/>
      <x:c r="D44" s="3"/>
    </x:row>
    <x:row r="45" ht="21" customHeight="1">
      <x:c r="A45" s="3"/>
      <x:c r="B45" s="3"/>
      <x:c r="C45" s="3"/>
      <x:c r="D45" s="3"/>
    </x:row>
    <x:row r="46" ht="21" customHeight="1">
      <x:c r="A46" s="3"/>
      <x:c r="B46" s="3"/>
      <x:c r="C46" s="3"/>
      <x:c r="D46" s="3"/>
    </x:row>
    <x:row r="47" ht="21" customHeight="1">
      <x:c r="A47" s="3"/>
      <x:c r="B47" s="3"/>
      <x:c r="C47" s="3"/>
      <x:c r="D47" s="3"/>
    </x:row>
    <x:row r="48" ht="21" customHeight="1">
      <x:c r="A48" s="3"/>
      <x:c r="B48" s="3"/>
      <x:c r="C48" s="3"/>
      <x:c r="D48" s="3"/>
    </x:row>
    <x:row r="49" ht="21" customHeight="1">
      <x:c r="A49" s="3"/>
      <x:c r="B49" s="3"/>
      <x:c r="C49" s="3"/>
      <x:c r="D49" s="3"/>
    </x:row>
    <x:row r="50" ht="21" customHeight="1">
      <x:c r="A50" s="3"/>
      <x:c r="B50" s="3"/>
      <x:c r="C50" s="3"/>
      <x:c r="D50" s="3"/>
    </x:row>
    <x:row r="51" ht="21" customHeight="1">
      <x:c r="A51" s="3"/>
      <x:c r="B51" s="3"/>
      <x:c r="C51" s="3"/>
      <x:c r="D51" s="3"/>
    </x:row>
    <x:row r="52" ht="21" customHeight="1">
      <x:c r="A52" s="3"/>
      <x:c r="B52" s="3"/>
      <x:c r="C52" s="3"/>
      <x:c r="D52" s="3"/>
    </x:row>
    <x:row r="53" ht="21" customHeight="1">
      <x:c r="A53" s="3"/>
      <x:c r="B53" s="3"/>
      <x:c r="C53" s="3"/>
      <x:c r="D53" s="3"/>
    </x:row>
    <x:row r="54" ht="21" customHeight="1">
      <x:c r="A54" s="3"/>
      <x:c r="B54" s="3"/>
      <x:c r="C54" s="3"/>
      <x:c r="D54" s="3"/>
    </x:row>
  </x:sheetData>
  <x:conditionalFormatting sqref="A1:D54">
    <x:cfRule type="containsText" dxfId="0" priority="1" operator="containsText" text="UNKNOW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18" hidden="0" customWidth="1"/>
    <x:col min="4" max="4" width="18" hidden="0" customWidth="1"/>
    <x:col min="5" max="5" width="25" hidden="0" customWidth="1"/>
    <x:col min="6" max="6" width="18" hidden="0" customWidth="1"/>
    <x:col min="7" max="7" width="65" hidden="0" customWidth="1"/>
    <x:col min="8" max="8" width="65" hidden="0" customWidth="1"/>
  </x:cols>
  <x:sheetData>
    <x:row r="1" ht="21" customHeight="1">
      <x:c r="A1" s="6" t="str">
        <x:v>AI workflow assumptions</x:v>
      </x:c>
      <x:c r="B1" s="5"/>
      <x:c r="C1" s="5"/>
      <x:c r="D1" s="5"/>
      <x:c r="E1" s="5"/>
      <x:c r="F1" s="5"/>
      <x:c r="G1" s="5"/>
      <x:c r="H1" s="5"/>
    </x:row>
    <x:row r="2" ht="21" customHeight="1">
      <x:c r="A2" s="5"/>
      <x:c r="B2" s="5"/>
      <x:c r="C2" s="5"/>
      <x:c r="D2" s="5"/>
      <x:c r="E2" s="5"/>
      <x:c r="F2" s="5"/>
      <x:c r="G2" s="5"/>
      <x:c r="H2" s="5"/>
    </x:row>
    <x:row r="3" ht="21" customHeight="1">
      <x:c r="A3" s="3"/>
      <x:c r="B3" s="3"/>
      <x:c r="C3" s="3"/>
      <x:c r="D3" s="3"/>
      <x:c r="E3" s="3"/>
      <x:c r="F3" s="3"/>
      <x:c r="G3" s="3"/>
      <x:c r="H3" s="3"/>
    </x:row>
    <x:row r="4" ht="62" customHeight="1">
      <x:c r="A4" s="3" t="str">
        <x:v>Case selected (1–4)</x:v>
      </x:c>
      <x:c r="B4" s="8" t="n">
        <x:v>1</x:v>
      </x:c>
      <x:c r="C4" s="3"/>
      <x:c r="D4" s="3" t="n">
        <x:v>1</x:v>
      </x:c>
      <x:c r="E4" s="3" t="str">
        <x:v>SYN-ESS-DOCS</x:v>
      </x:c>
      <x:c r="F4" s="3" t="str">
        <x:v>ESS</x:v>
      </x:c>
      <x:c r="G4" s="9" t="str">
        <x:v>Fictional documentation drafting</x:v>
      </x:c>
      <x:c r="H4" s="9" t="str">
        <x:v>High-volume synthetic case. Comparable accepted-output quality is an assumption to test separately. Cash conversion is explicitly zero, so positive capacity value does not claim a cash saving.</x:v>
      </x:c>
    </x:row>
    <x:row r="5" ht="62" customHeight="1">
      <x:c r="A5" s="3" t="str">
        <x:v>Horizon months</x:v>
      </x:c>
      <x:c r="B5" s="8" t="n">
        <x:v>12</x:v>
      </x:c>
      <x:c r="C5" s="3"/>
      <x:c r="D5" s="3" t="n">
        <x:v>2</x:v>
      </x:c>
      <x:c r="E5" s="3" t="str">
        <x:v>SYN-RIS-REVIEW</x:v>
      </x:c>
      <x:c r="F5" s="3" t="str">
        <x:v>RIS</x:v>
      </x:c>
      <x:c r="G5" s="9" t="str">
        <x:v>Fictional low-volume, high-review workflow</x:v>
      </x:c>
      <x:c r="H5" s="9" t="str">
        <x:v>Verification and repair dominate this synthetic task. More volume is not a cure for a negative per-task contribution. No claim is made about research staff or University practices.</x:v>
      </x:c>
    </x:row>
    <x:row r="6" ht="62" customHeight="1">
      <x:c r="A6" s="3" t="str">
        <x:v>Currency</x:v>
      </x:c>
      <x:c r="B6" s="8" t="str">
        <x:v>USD</x:v>
      </x:c>
      <x:c r="C6" s="3"/>
      <x:c r="D6" s="3" t="n">
        <x:v>3</x:v>
      </x:c>
      <x:c r="E6" s="3" t="str">
        <x:v>SYN-IAM-SUMMARY</x:v>
      </x:c>
      <x:c r="F6" s="3" t="str">
        <x:v>IAM</x:v>
      </x:c>
      <x:c r="G6" s="9" t="str">
        <x:v>Fictional requirements summarization</x:v>
      </x:c>
      <x:c r="H6" s="9" t="str">
        <x:v>Independent synthetic ranges intentionally span both signs of net value. The base case is not a prediction, median, percentile or promised productivity multiplier.</x:v>
      </x:c>
    </x:row>
    <x:row r="7" ht="62" customHeight="1">
      <x:c r="A7" s="3" t="str">
        <x:v>Input basis</x:v>
      </x:c>
      <x:c r="B7" s="8" t="str">
        <x:v>SYNTHETIC</x:v>
      </x:c>
      <x:c r="C7" s="3"/>
      <x:c r="D7" s="3" t="n">
        <x:v>4</x:v>
      </x:c>
      <x:c r="E7" s="3" t="str">
        <x:v>SYN-ESS-UNKNOWN</x:v>
      </x:c>
      <x:c r="F7" s="3" t="str">
        <x:v>ESS</x:v>
      </x:c>
      <x:c r="G7" s="9" t="str">
        <x:v>Fictional test drafting with missing verification evidence</x:v>
      </x:c>
      <x:c r="H7" s="9" t="str">
        <x:v>Checking and rework incidence are deliberately unmeasured. Generation speed alone cannot support a net-value result. Null is unknown, never zero.</x:v>
      </x:c>
    </x:row>
    <x:row r="8" ht="21" customHeight="1">
      <x:c r="A8" s="3"/>
      <x:c r="B8" s="3"/>
      <x:c r="C8" s="3"/>
      <x:c r="D8" s="3"/>
      <x:c r="E8" s="3"/>
      <x:c r="F8" s="3"/>
      <x:c r="G8" s="3"/>
      <x:c r="H8" s="3"/>
    </x:row>
    <x:row r="9" ht="21" customHeight="1">
      <x:c r="A9" s="3" t="str">
        <x:v>Edit blue case inputs. Blank low/base/high means UNKNOWN. Sources and evidence basis travel with exported inputs.</x:v>
      </x:c>
      <x:c r="B9" s="3"/>
      <x:c r="C9" s="3"/>
      <x:c r="D9" s="3"/>
      <x:c r="E9" s="3"/>
      <x:c r="F9" s="3"/>
      <x:c r="G9" s="3"/>
      <x:c r="H9" s="3"/>
    </x:row>
    <x:row r="10" ht="21" customHeight="1">
      <x:c r="A10" s="3"/>
      <x:c r="B10" s="3"/>
      <x:c r="C10" s="3"/>
      <x:c r="D10" s="3"/>
      <x:c r="E10" s="3"/>
      <x:c r="F10" s="3"/>
      <x:c r="G10" s="3"/>
      <x:c r="H10" s="3"/>
    </x:row>
    <x:row r="11" ht="30" customHeight="1">
      <x:c r="A11" s="11" t="str">
        <x:v>Input / case</x:v>
      </x:c>
      <x:c r="B11" s="11" t="str">
        <x:v>Unit</x:v>
      </x:c>
      <x:c r="C11" s="11" t="str">
        <x:v>Low</x:v>
      </x:c>
      <x:c r="D11" s="11" t="str">
        <x:v>Base</x:v>
      </x:c>
      <x:c r="E11" s="11" t="str">
        <x:v>High</x:v>
      </x:c>
      <x:c r="F11" s="11" t="str">
        <x:v>Evidence basis</x:v>
      </x:c>
      <x:c r="G11" s="11" t="str">
        <x:v>Source</x:v>
      </x:c>
      <x:c r="H11" s="11" t="str">
        <x:v>Collection note</x:v>
      </x:c>
    </x:row>
    <x:row r="12" ht="21" customHeight="1">
      <x:c r="A12" s="13" t="str">
        <x:v>monthly_tasks</x:v>
      </x:c>
      <x:c r="B12" s="13" t="str">
        <x:v>tasks/month</x:v>
      </x:c>
      <x:c r="C12" s="16" t="n">
        <x:f>IF(AND(COUNT(CHOOSE($B$4,C13,C14,C15,C16),CHOOSE($B$4,D13,D14,D15,D16),CHOOSE($B$4,E13,E14,E15,E16))=3,CHOOSE($B$4,C13,C14,C15,C16)&gt;=0,CHOOSE($B$4,C13,C14,C15,C16)&lt;=CHOOSE($B$4,D13,D14,D15,D16),CHOOSE($B$4,D13,D14,D15,D16)&lt;=CHOOSE($B$4,E13,E14,E15,E16)),CHOOSE($B$4,C13,C14,C15,C16),"UNKNOWN")</x:f>
        <x:v>300</x:v>
      </x:c>
      <x:c r="D12" s="16" t="n">
        <x:f>IF(AND(COUNT(CHOOSE($B$4,C13,C14,C15,C16),CHOOSE($B$4,D13,D14,D15,D16),CHOOSE($B$4,E13,E14,E15,E16))=3,CHOOSE($B$4,C13,C14,C15,C16)&gt;=0,CHOOSE($B$4,C13,C14,C15,C16)&lt;=CHOOSE($B$4,D13,D14,D15,D16),CHOOSE($B$4,D13,D14,D15,D16)&lt;=CHOOSE($B$4,E13,E14,E15,E16)),CHOOSE($B$4,D13,D14,D15,D16),"UNKNOWN")</x:f>
        <x:v>400</x:v>
      </x:c>
      <x:c r="E12" s="16" t="n">
        <x:f>IF(AND(COUNT(CHOOSE($B$4,C13,C14,C15,C16),CHOOSE($B$4,D13,D14,D15,D16),CHOOSE($B$4,E13,E14,E15,E16))=3,CHOOSE($B$4,C13,C14,C15,C16)&gt;=0,CHOOSE($B$4,C13,C14,C15,C16)&lt;=CHOOSE($B$4,D13,D14,D15,D16),CHOOSE($B$4,D13,D14,D15,D16)&lt;=CHOOSE($B$4,E13,E14,E15,E16)),CHOOSE($B$4,E13,E14,E15,E16),"UNKNOWN")</x:f>
        <x:v>500</x:v>
      </x:c>
      <x:c r="F12" s="13"/>
      <x:c r="G12" s="13"/>
      <x:c r="H12" s="13"/>
    </x:row>
    <x:row r="13" ht="48" customHeight="1">
      <x:c r="A13" s="3" t="str">
        <x:v>SYN-ESS-DOCS</x:v>
      </x:c>
      <x:c r="B13" s="3" t="str">
        <x:v>tasks/month</x:v>
      </x:c>
      <x:c r="C13" s="17" t="n">
        <x:v>300</x:v>
      </x:c>
      <x:c r="D13" s="17" t="n">
        <x:v>400</x:v>
      </x:c>
      <x:c r="E13" s="17" t="n">
        <x:v>500</x:v>
      </x:c>
      <x:c r="F13" s="7" t="str">
        <x:v>synthetic</x:v>
      </x:c>
      <x:c r="G13" s="14" t="str">
        <x:v>synthetic_cases.py::SYN-ESS-DOCS::monthly_tasks; fictional training assumption, not observed evidence</x:v>
      </x:c>
      <x:c r="H13" s="9" t="str"/>
    </x:row>
    <x:row r="14" ht="48" customHeight="1">
      <x:c r="A14" s="3" t="str">
        <x:v>SYN-RIS-REVIEW</x:v>
      </x:c>
      <x:c r="B14" s="3" t="str">
        <x:v>tasks/month</x:v>
      </x:c>
      <x:c r="C14" s="17" t="n">
        <x:v>10</x:v>
      </x:c>
      <x:c r="D14" s="17" t="n">
        <x:v>15</x:v>
      </x:c>
      <x:c r="E14" s="17" t="n">
        <x:v>20</x:v>
      </x:c>
      <x:c r="F14" s="7" t="str">
        <x:v>synthetic</x:v>
      </x:c>
      <x:c r="G14" s="14" t="str">
        <x:v>synthetic_cases.py::SYN-RIS-REVIEW::monthly_tasks; fictional training assumption, not observed evidence</x:v>
      </x:c>
      <x:c r="H14" s="9" t="str"/>
    </x:row>
    <x:row r="15" ht="48" customHeight="1">
      <x:c r="A15" s="3" t="str">
        <x:v>SYN-IAM-SUMMARY</x:v>
      </x:c>
      <x:c r="B15" s="3" t="str">
        <x:v>tasks/month</x:v>
      </x:c>
      <x:c r="C15" s="17" t="n">
        <x:v>60</x:v>
      </x:c>
      <x:c r="D15" s="17" t="n">
        <x:v>90</x:v>
      </x:c>
      <x:c r="E15" s="17" t="n">
        <x:v>120</x:v>
      </x:c>
      <x:c r="F15" s="7" t="str">
        <x:v>synthetic</x:v>
      </x:c>
      <x:c r="G15" s="14" t="str">
        <x:v>synthetic_cases.py::SYN-IAM-SUMMARY::monthly_tasks; fictional training assumption, not observed evidence</x:v>
      </x:c>
      <x:c r="H15" s="9" t="str"/>
    </x:row>
    <x:row r="16" ht="48" customHeight="1">
      <x:c r="A16" s="3" t="str">
        <x:v>SYN-ESS-UNKNOWN</x:v>
      </x:c>
      <x:c r="B16" s="3" t="str">
        <x:v>tasks/month</x:v>
      </x:c>
      <x:c r="C16" s="17" t="n">
        <x:v>300</x:v>
      </x:c>
      <x:c r="D16" s="17" t="n">
        <x:v>400</x:v>
      </x:c>
      <x:c r="E16" s="17" t="n">
        <x:v>500</x:v>
      </x:c>
      <x:c r="F16" s="7" t="str">
        <x:v>synthetic</x:v>
      </x:c>
      <x:c r="G16" s="14" t="str">
        <x:v>synthetic_cases.py::SYN-ESS-UNKNOWN::monthly_tasks; fictional training assumption, not observed evidence</x:v>
      </x:c>
      <x:c r="H16" s="9" t="str"/>
    </x:row>
    <x:row r="17" ht="21" customHeight="1">
      <x:c r="A17" s="3"/>
      <x:c r="B17" s="3"/>
      <x:c r="C17" s="3"/>
      <x:c r="D17" s="3"/>
      <x:c r="E17" s="3"/>
      <x:c r="F17" s="3"/>
      <x:c r="G17" s="3"/>
      <x:c r="H17" s="3"/>
    </x:row>
    <x:row r="18" ht="21" customHeight="1">
      <x:c r="A18" s="13" t="str">
        <x:v>adoption_fraction</x:v>
      </x:c>
      <x:c r="B18" s="13" t="str">
        <x:v>fraction</x:v>
      </x:c>
      <x:c r="C18" s="18" t="n">
        <x:f>IF(AND(COUNT(CHOOSE($B$4,C19,C20,C21,C22),CHOOSE($B$4,D19,D20,D21,D22),CHOOSE($B$4,E19,E20,E21,E22))=3,CHOOSE($B$4,C19,C20,C21,C22)&gt;=0,CHOOSE($B$4,C19,C20,C21,C22)&lt;=CHOOSE($B$4,D19,D20,D21,D22),CHOOSE($B$4,D19,D20,D21,D22)&lt;=CHOOSE($B$4,E19,E20,E21,E22),CHOOSE($B$4,E19,E20,E21,E22)&lt;=1),CHOOSE($B$4,C19,C20,C21,C22),"UNKNOWN")</x:f>
        <x:v>0.7</x:v>
      </x:c>
      <x:c r="D18" s="18" t="n">
        <x:f>IF(AND(COUNT(CHOOSE($B$4,C19,C20,C21,C22),CHOOSE($B$4,D19,D20,D21,D22),CHOOSE($B$4,E19,E20,E21,E22))=3,CHOOSE($B$4,C19,C20,C21,C22)&gt;=0,CHOOSE($B$4,C19,C20,C21,C22)&lt;=CHOOSE($B$4,D19,D20,D21,D22),CHOOSE($B$4,D19,D20,D21,D22)&lt;=CHOOSE($B$4,E19,E20,E21,E22),CHOOSE($B$4,E19,E20,E21,E22)&lt;=1),CHOOSE($B$4,D19,D20,D21,D22),"UNKNOWN")</x:f>
        <x:v>0.8</x:v>
      </x:c>
      <x:c r="E18" s="18" t="n">
        <x:f>IF(AND(COUNT(CHOOSE($B$4,C19,C20,C21,C22),CHOOSE($B$4,D19,D20,D21,D22),CHOOSE($B$4,E19,E20,E21,E22))=3,CHOOSE($B$4,C19,C20,C21,C22)&gt;=0,CHOOSE($B$4,C19,C20,C21,C22)&lt;=CHOOSE($B$4,D19,D20,D21,D22),CHOOSE($B$4,D19,D20,D21,D22)&lt;=CHOOSE($B$4,E19,E20,E21,E22),CHOOSE($B$4,E19,E20,E21,E22)&lt;=1),CHOOSE($B$4,E19,E20,E21,E22),"UNKNOWN")</x:f>
        <x:v>0.9</x:v>
      </x:c>
      <x:c r="F18" s="13"/>
      <x:c r="G18" s="13"/>
      <x:c r="H18" s="13"/>
    </x:row>
    <x:row r="19" ht="48" customHeight="1">
      <x:c r="A19" s="3" t="str">
        <x:v>SYN-ESS-DOCS</x:v>
      </x:c>
      <x:c r="B19" s="3" t="str">
        <x:v>fraction</x:v>
      </x:c>
      <x:c r="C19" s="19" t="n">
        <x:v>0.7</x:v>
      </x:c>
      <x:c r="D19" s="19" t="n">
        <x:v>0.8</x:v>
      </x:c>
      <x:c r="E19" s="19" t="n">
        <x:v>0.9</x:v>
      </x:c>
      <x:c r="F19" s="7" t="str">
        <x:v>synthetic</x:v>
      </x:c>
      <x:c r="G19" s="14" t="str">
        <x:v>synthetic_cases.py::SYN-ESS-DOCS::adoption_fraction; fictional training assumption, not observed evidence</x:v>
      </x:c>
      <x:c r="H19" s="9" t="str"/>
    </x:row>
    <x:row r="20" ht="48" customHeight="1">
      <x:c r="A20" s="3" t="str">
        <x:v>SYN-RIS-REVIEW</x:v>
      </x:c>
      <x:c r="B20" s="3" t="str">
        <x:v>fraction</x:v>
      </x:c>
      <x:c r="C20" s="19" t="n">
        <x:v>0.5</x:v>
      </x:c>
      <x:c r="D20" s="19" t="n">
        <x:v>0.75</x:v>
      </x:c>
      <x:c r="E20" s="19" t="n">
        <x:v>1</x:v>
      </x:c>
      <x:c r="F20" s="7" t="str">
        <x:v>synthetic</x:v>
      </x:c>
      <x:c r="G20" s="14" t="str">
        <x:v>synthetic_cases.py::SYN-RIS-REVIEW::adoption_fraction; fictional training assumption, not observed evidence</x:v>
      </x:c>
      <x:c r="H20" s="9" t="str"/>
    </x:row>
    <x:row r="21" ht="48" customHeight="1">
      <x:c r="A21" s="3" t="str">
        <x:v>SYN-IAM-SUMMARY</x:v>
      </x:c>
      <x:c r="B21" s="3" t="str">
        <x:v>fraction</x:v>
      </x:c>
      <x:c r="C21" s="19" t="n">
        <x:v>0.5</x:v>
      </x:c>
      <x:c r="D21" s="19" t="n">
        <x:v>0.7</x:v>
      </x:c>
      <x:c r="E21" s="19" t="n">
        <x:v>0.9</x:v>
      </x:c>
      <x:c r="F21" s="7" t="str">
        <x:v>synthetic</x:v>
      </x:c>
      <x:c r="G21" s="14" t="str">
        <x:v>synthetic_cases.py::SYN-IAM-SUMMARY::adoption_fraction; fictional training assumption, not observed evidence</x:v>
      </x:c>
      <x:c r="H21" s="9" t="str"/>
    </x:row>
    <x:row r="22" ht="48" customHeight="1">
      <x:c r="A22" s="3" t="str">
        <x:v>SYN-ESS-UNKNOWN</x:v>
      </x:c>
      <x:c r="B22" s="3" t="str">
        <x:v>fraction</x:v>
      </x:c>
      <x:c r="C22" s="19" t="n">
        <x:v>0.7</x:v>
      </x:c>
      <x:c r="D22" s="19" t="n">
        <x:v>0.8</x:v>
      </x:c>
      <x:c r="E22" s="19" t="n">
        <x:v>0.9</x:v>
      </x:c>
      <x:c r="F22" s="7" t="str">
        <x:v>synthetic</x:v>
      </x:c>
      <x:c r="G22" s="14" t="str">
        <x:v>synthetic_cases.py::SYN-ESS-UNKNOWN::adoption_fraction; fictional training assumption, not observed evidence</x:v>
      </x:c>
      <x:c r="H22" s="9" t="str"/>
    </x:row>
    <x:row r="23" ht="21" customHeight="1">
      <x:c r="A23" s="3"/>
      <x:c r="B23" s="3"/>
      <x:c r="C23" s="3"/>
      <x:c r="D23" s="3"/>
      <x:c r="E23" s="3"/>
      <x:c r="F23" s="3"/>
      <x:c r="G23" s="3"/>
      <x:c r="H23" s="3"/>
    </x:row>
    <x:row r="24" ht="21" customHeight="1">
      <x:c r="A24" s="13" t="str">
        <x:v>baseline_minutes</x:v>
      </x:c>
      <x:c r="B24" s="13" t="str">
        <x:v>minutes/task</x:v>
      </x:c>
      <x:c r="C24" s="16" t="n">
        <x:f>IF(AND(COUNT(CHOOSE($B$4,C25,C26,C27,C28),CHOOSE($B$4,D25,D26,D27,D28),CHOOSE($B$4,E25,E26,E27,E28))=3,CHOOSE($B$4,C25,C26,C27,C28)&gt;=0,CHOOSE($B$4,C25,C26,C27,C28)&lt;=CHOOSE($B$4,D25,D26,D27,D28),CHOOSE($B$4,D25,D26,D27,D28)&lt;=CHOOSE($B$4,E25,E26,E27,E28)),CHOOSE($B$4,C25,C26,C27,C28),"UNKNOWN")</x:f>
        <x:v>30</x:v>
      </x:c>
      <x:c r="D24" s="16" t="n">
        <x:f>IF(AND(COUNT(CHOOSE($B$4,C25,C26,C27,C28),CHOOSE($B$4,D25,D26,D27,D28),CHOOSE($B$4,E25,E26,E27,E28))=3,CHOOSE($B$4,C25,C26,C27,C28)&gt;=0,CHOOSE($B$4,C25,C26,C27,C28)&lt;=CHOOSE($B$4,D25,D26,D27,D28),CHOOSE($B$4,D25,D26,D27,D28)&lt;=CHOOSE($B$4,E25,E26,E27,E28)),CHOOSE($B$4,D25,D26,D27,D28),"UNKNOWN")</x:f>
        <x:v>40</x:v>
      </x:c>
      <x:c r="E24" s="16" t="n">
        <x:f>IF(AND(COUNT(CHOOSE($B$4,C25,C26,C27,C28),CHOOSE($B$4,D25,D26,D27,D28),CHOOSE($B$4,E25,E26,E27,E28))=3,CHOOSE($B$4,C25,C26,C27,C28)&gt;=0,CHOOSE($B$4,C25,C26,C27,C28)&lt;=CHOOSE($B$4,D25,D26,D27,D28),CHOOSE($B$4,D25,D26,D27,D28)&lt;=CHOOSE($B$4,E25,E26,E27,E28)),CHOOSE($B$4,E25,E26,E27,E28),"UNKNOWN")</x:f>
        <x:v>50</x:v>
      </x:c>
      <x:c r="F24" s="13"/>
      <x:c r="G24" s="13"/>
      <x:c r="H24" s="13"/>
    </x:row>
    <x:row r="25" ht="48" customHeight="1">
      <x:c r="A25" s="3" t="str">
        <x:v>SYN-ESS-DOCS</x:v>
      </x:c>
      <x:c r="B25" s="3" t="str">
        <x:v>minutes/task</x:v>
      </x:c>
      <x:c r="C25" s="17" t="n">
        <x:v>30</x:v>
      </x:c>
      <x:c r="D25" s="17" t="n">
        <x:v>40</x:v>
      </x:c>
      <x:c r="E25" s="17" t="n">
        <x:v>50</x:v>
      </x:c>
      <x:c r="F25" s="7" t="str">
        <x:v>synthetic</x:v>
      </x:c>
      <x:c r="G25" s="14" t="str">
        <x:v>synthetic_cases.py::SYN-ESS-DOCS::baseline_minutes; fictional training assumption, not observed evidence</x:v>
      </x:c>
      <x:c r="H25" s="9" t="str"/>
    </x:row>
    <x:row r="26" ht="48" customHeight="1">
      <x:c r="A26" s="3" t="str">
        <x:v>SYN-RIS-REVIEW</x:v>
      </x:c>
      <x:c r="B26" s="3" t="str">
        <x:v>minutes/task</x:v>
      </x:c>
      <x:c r="C26" s="17" t="n">
        <x:v>15</x:v>
      </x:c>
      <x:c r="D26" s="17" t="n">
        <x:v>20</x:v>
      </x:c>
      <x:c r="E26" s="17" t="n">
        <x:v>25</x:v>
      </x:c>
      <x:c r="F26" s="7" t="str">
        <x:v>synthetic</x:v>
      </x:c>
      <x:c r="G26" s="14" t="str">
        <x:v>synthetic_cases.py::SYN-RIS-REVIEW::baseline_minutes; fictional training assumption, not observed evidence</x:v>
      </x:c>
      <x:c r="H26" s="9" t="str"/>
    </x:row>
    <x:row r="27" ht="48" customHeight="1">
      <x:c r="A27" s="3" t="str">
        <x:v>SYN-IAM-SUMMARY</x:v>
      </x:c>
      <x:c r="B27" s="3" t="str">
        <x:v>minutes/task</x:v>
      </x:c>
      <x:c r="C27" s="17" t="n">
        <x:v>30</x:v>
      </x:c>
      <x:c r="D27" s="17" t="n">
        <x:v>40</x:v>
      </x:c>
      <x:c r="E27" s="17" t="n">
        <x:v>50</x:v>
      </x:c>
      <x:c r="F27" s="7" t="str">
        <x:v>synthetic</x:v>
      </x:c>
      <x:c r="G27" s="14" t="str">
        <x:v>synthetic_cases.py::SYN-IAM-SUMMARY::baseline_minutes; fictional training assumption, not observed evidence</x:v>
      </x:c>
      <x:c r="H27" s="9" t="str"/>
    </x:row>
    <x:row r="28" ht="48" customHeight="1">
      <x:c r="A28" s="3" t="str">
        <x:v>SYN-ESS-UNKNOWN</x:v>
      </x:c>
      <x:c r="B28" s="3" t="str">
        <x:v>minutes/task</x:v>
      </x:c>
      <x:c r="C28" s="17" t="n">
        <x:v>30</x:v>
      </x:c>
      <x:c r="D28" s="17" t="n">
        <x:v>40</x:v>
      </x:c>
      <x:c r="E28" s="17" t="n">
        <x:v>50</x:v>
      </x:c>
      <x:c r="F28" s="7" t="str">
        <x:v>synthetic</x:v>
      </x:c>
      <x:c r="G28" s="14" t="str">
        <x:v>synthetic_cases.py::SYN-ESS-UNKNOWN::baseline_minutes; fictional training assumption, not observed evidence</x:v>
      </x:c>
      <x:c r="H28" s="9" t="str"/>
    </x:row>
    <x:row r="29" ht="21" customHeight="1">
      <x:c r="A29" s="3"/>
      <x:c r="B29" s="3"/>
      <x:c r="C29" s="3"/>
      <x:c r="D29" s="3"/>
      <x:c r="E29" s="3"/>
      <x:c r="F29" s="3"/>
      <x:c r="G29" s="3"/>
      <x:c r="H29" s="3"/>
    </x:row>
    <x:row r="30" ht="21" customHeight="1">
      <x:c r="A30" s="13" t="str">
        <x:v>author_minutes</x:v>
      </x:c>
      <x:c r="B30" s="13" t="str">
        <x:v>minutes/assisted task</x:v>
      </x:c>
      <x:c r="C30" s="16" t="n">
        <x:f>IF(AND(COUNT(CHOOSE($B$4,C31,C32,C33,C34),CHOOSE($B$4,D31,D32,D33,D34),CHOOSE($B$4,E31,E32,E33,E34))=3,CHOOSE($B$4,C31,C32,C33,C34)&gt;=0,CHOOSE($B$4,C31,C32,C33,C34)&lt;=CHOOSE($B$4,D31,D32,D33,D34),CHOOSE($B$4,D31,D32,D33,D34)&lt;=CHOOSE($B$4,E31,E32,E33,E34)),CHOOSE($B$4,C31,C32,C33,C34),"UNKNOWN")</x:f>
        <x:v>5</x:v>
      </x:c>
      <x:c r="D30" s="16" t="n">
        <x:f>IF(AND(COUNT(CHOOSE($B$4,C31,C32,C33,C34),CHOOSE($B$4,D31,D32,D33,D34),CHOOSE($B$4,E31,E32,E33,E34))=3,CHOOSE($B$4,C31,C32,C33,C34)&gt;=0,CHOOSE($B$4,C31,C32,C33,C34)&lt;=CHOOSE($B$4,D31,D32,D33,D34),CHOOSE($B$4,D31,D32,D33,D34)&lt;=CHOOSE($B$4,E31,E32,E33,E34)),CHOOSE($B$4,D31,D32,D33,D34),"UNKNOWN")</x:f>
        <x:v>6</x:v>
      </x:c>
      <x:c r="E30" s="16" t="n">
        <x:f>IF(AND(COUNT(CHOOSE($B$4,C31,C32,C33,C34),CHOOSE($B$4,D31,D32,D33,D34),CHOOSE($B$4,E31,E32,E33,E34))=3,CHOOSE($B$4,C31,C32,C33,C34)&gt;=0,CHOOSE($B$4,C31,C32,C33,C34)&lt;=CHOOSE($B$4,D31,D32,D33,D34),CHOOSE($B$4,D31,D32,D33,D34)&lt;=CHOOSE($B$4,E31,E32,E33,E34)),CHOOSE($B$4,E31,E32,E33,E34),"UNKNOWN")</x:f>
        <x:v>8</x:v>
      </x:c>
      <x:c r="F30" s="13"/>
      <x:c r="G30" s="13"/>
      <x:c r="H30" s="13"/>
    </x:row>
    <x:row r="31" ht="48" customHeight="1">
      <x:c r="A31" s="3" t="str">
        <x:v>SYN-ESS-DOCS</x:v>
      </x:c>
      <x:c r="B31" s="3" t="str">
        <x:v>minutes/assisted task</x:v>
      </x:c>
      <x:c r="C31" s="17" t="n">
        <x:v>5</x:v>
      </x:c>
      <x:c r="D31" s="17" t="n">
        <x:v>6</x:v>
      </x:c>
      <x:c r="E31" s="17" t="n">
        <x:v>8</x:v>
      </x:c>
      <x:c r="F31" s="7" t="str">
        <x:v>synthetic</x:v>
      </x:c>
      <x:c r="G31" s="14" t="str">
        <x:v>synthetic_cases.py::SYN-ESS-DOCS::author_minutes; fictional training assumption, not observed evidence</x:v>
      </x:c>
      <x:c r="H31" s="9" t="str"/>
    </x:row>
    <x:row r="32" ht="48" customHeight="1">
      <x:c r="A32" s="3" t="str">
        <x:v>SYN-RIS-REVIEW</x:v>
      </x:c>
      <x:c r="B32" s="3" t="str">
        <x:v>minutes/assisted task</x:v>
      </x:c>
      <x:c r="C32" s="17" t="n">
        <x:v>10</x:v>
      </x:c>
      <x:c r="D32" s="17" t="n">
        <x:v>12</x:v>
      </x:c>
      <x:c r="E32" s="17" t="n">
        <x:v>15</x:v>
      </x:c>
      <x:c r="F32" s="7" t="str">
        <x:v>synthetic</x:v>
      </x:c>
      <x:c r="G32" s="14" t="str">
        <x:v>synthetic_cases.py::SYN-RIS-REVIEW::author_minutes; fictional training assumption, not observed evidence</x:v>
      </x:c>
      <x:c r="H32" s="9" t="str"/>
    </x:row>
    <x:row r="33" ht="48" customHeight="1">
      <x:c r="A33" s="3" t="str">
        <x:v>SYN-IAM-SUMMARY</x:v>
      </x:c>
      <x:c r="B33" s="3" t="str">
        <x:v>minutes/assisted task</x:v>
      </x:c>
      <x:c r="C33" s="17" t="n">
        <x:v>5</x:v>
      </x:c>
      <x:c r="D33" s="17" t="n">
        <x:v>8</x:v>
      </x:c>
      <x:c r="E33" s="17" t="n">
        <x:v>10</x:v>
      </x:c>
      <x:c r="F33" s="7" t="str">
        <x:v>synthetic</x:v>
      </x:c>
      <x:c r="G33" s="14" t="str">
        <x:v>synthetic_cases.py::SYN-IAM-SUMMARY::author_minutes; fictional training assumption, not observed evidence</x:v>
      </x:c>
      <x:c r="H33" s="9" t="str"/>
    </x:row>
    <x:row r="34" ht="48" customHeight="1">
      <x:c r="A34" s="3" t="str">
        <x:v>SYN-ESS-UNKNOWN</x:v>
      </x:c>
      <x:c r="B34" s="3" t="str">
        <x:v>minutes/assisted task</x:v>
      </x:c>
      <x:c r="C34" s="17" t="n">
        <x:v>5</x:v>
      </x:c>
      <x:c r="D34" s="17" t="n">
        <x:v>6</x:v>
      </x:c>
      <x:c r="E34" s="17" t="n">
        <x:v>8</x:v>
      </x:c>
      <x:c r="F34" s="7" t="str">
        <x:v>synthetic</x:v>
      </x:c>
      <x:c r="G34" s="14" t="str">
        <x:v>synthetic_cases.py::SYN-ESS-UNKNOWN::author_minutes; fictional training assumption, not observed evidence</x:v>
      </x:c>
      <x:c r="H34" s="9" t="str"/>
    </x:row>
    <x:row r="35" ht="21" customHeight="1">
      <x:c r="A35" s="3"/>
      <x:c r="B35" s="3"/>
      <x:c r="C35" s="3"/>
      <x:c r="D35" s="3"/>
      <x:c r="E35" s="3"/>
      <x:c r="F35" s="3"/>
      <x:c r="G35" s="3"/>
      <x:c r="H35" s="3"/>
    </x:row>
    <x:row r="36" ht="21" customHeight="1">
      <x:c r="A36" s="13" t="str">
        <x:v>checking_minutes</x:v>
      </x:c>
      <x:c r="B36" s="13" t="str">
        <x:v>minutes/assisted task</x:v>
      </x:c>
      <x:c r="C36" s="16" t="n">
        <x:f>IF(AND(COUNT(CHOOSE($B$4,C37,C38,C39,C40),CHOOSE($B$4,D37,D38,D39,D40),CHOOSE($B$4,E37,E38,E39,E40))=3,CHOOSE($B$4,C37,C38,C39,C40)&gt;=0,CHOOSE($B$4,C37,C38,C39,C40)&lt;=CHOOSE($B$4,D37,D38,D39,D40),CHOOSE($B$4,D37,D38,D39,D40)&lt;=CHOOSE($B$4,E37,E38,E39,E40)),CHOOSE($B$4,C37,C38,C39,C40),"UNKNOWN")</x:f>
        <x:v>5</x:v>
      </x:c>
      <x:c r="D36" s="16" t="n">
        <x:f>IF(AND(COUNT(CHOOSE($B$4,C37,C38,C39,C40),CHOOSE($B$4,D37,D38,D39,D40),CHOOSE($B$4,E37,E38,E39,E40))=3,CHOOSE($B$4,C37,C38,C39,C40)&gt;=0,CHOOSE($B$4,C37,C38,C39,C40)&lt;=CHOOSE($B$4,D37,D38,D39,D40),CHOOSE($B$4,D37,D38,D39,D40)&lt;=CHOOSE($B$4,E37,E38,E39,E40)),CHOOSE($B$4,D37,D38,D39,D40),"UNKNOWN")</x:f>
        <x:v>7</x:v>
      </x:c>
      <x:c r="E36" s="16" t="n">
        <x:f>IF(AND(COUNT(CHOOSE($B$4,C37,C38,C39,C40),CHOOSE($B$4,D37,D38,D39,D40),CHOOSE($B$4,E37,E38,E39,E40))=3,CHOOSE($B$4,C37,C38,C39,C40)&gt;=0,CHOOSE($B$4,C37,C38,C39,C40)&lt;=CHOOSE($B$4,D37,D38,D39,D40),CHOOSE($B$4,D37,D38,D39,D40)&lt;=CHOOSE($B$4,E37,E38,E39,E40)),CHOOSE($B$4,E37,E38,E39,E40),"UNKNOWN")</x:f>
        <x:v>10</x:v>
      </x:c>
      <x:c r="F36" s="13"/>
      <x:c r="G36" s="13"/>
      <x:c r="H36" s="13"/>
    </x:row>
    <x:row r="37" ht="48" customHeight="1">
      <x:c r="A37" s="3" t="str">
        <x:v>SYN-ESS-DOCS</x:v>
      </x:c>
      <x:c r="B37" s="3" t="str">
        <x:v>minutes/assisted task</x:v>
      </x:c>
      <x:c r="C37" s="17" t="n">
        <x:v>5</x:v>
      </x:c>
      <x:c r="D37" s="17" t="n">
        <x:v>7</x:v>
      </x:c>
      <x:c r="E37" s="17" t="n">
        <x:v>10</x:v>
      </x:c>
      <x:c r="F37" s="7" t="str">
        <x:v>synthetic</x:v>
      </x:c>
      <x:c r="G37" s="14" t="str">
        <x:v>synthetic_cases.py::SYN-ESS-DOCS::checking_minutes; fictional training assumption, not observed evidence</x:v>
      </x:c>
      <x:c r="H37" s="9" t="str"/>
    </x:row>
    <x:row r="38" ht="48" customHeight="1">
      <x:c r="A38" s="3" t="str">
        <x:v>SYN-RIS-REVIEW</x:v>
      </x:c>
      <x:c r="B38" s="3" t="str">
        <x:v>minutes/assisted task</x:v>
      </x:c>
      <x:c r="C38" s="17" t="n">
        <x:v>20</x:v>
      </x:c>
      <x:c r="D38" s="17" t="n">
        <x:v>25</x:v>
      </x:c>
      <x:c r="E38" s="17" t="n">
        <x:v>35</x:v>
      </x:c>
      <x:c r="F38" s="7" t="str">
        <x:v>synthetic</x:v>
      </x:c>
      <x:c r="G38" s="14" t="str">
        <x:v>synthetic_cases.py::SYN-RIS-REVIEW::checking_minutes; fictional training assumption, not observed evidence</x:v>
      </x:c>
      <x:c r="H38" s="9" t="str"/>
    </x:row>
    <x:row r="39" ht="48" customHeight="1">
      <x:c r="A39" s="3" t="str">
        <x:v>SYN-IAM-SUMMARY</x:v>
      </x:c>
      <x:c r="B39" s="3" t="str">
        <x:v>minutes/assisted task</x:v>
      </x:c>
      <x:c r="C39" s="17" t="n">
        <x:v>8</x:v>
      </x:c>
      <x:c r="D39" s="17" t="n">
        <x:v>15</x:v>
      </x:c>
      <x:c r="E39" s="17" t="n">
        <x:v>25</x:v>
      </x:c>
      <x:c r="F39" s="7" t="str">
        <x:v>synthetic</x:v>
      </x:c>
      <x:c r="G39" s="14" t="str">
        <x:v>synthetic_cases.py::SYN-IAM-SUMMARY::checking_minutes; fictional training assumption, not observed evidence</x:v>
      </x:c>
      <x:c r="H39" s="9" t="str"/>
    </x:row>
    <x:row r="40" ht="48" customHeight="1">
      <x:c r="A40" s="3" t="str">
        <x:v>SYN-ESS-UNKNOWN</x:v>
      </x:c>
      <x:c r="B40" s="3" t="str">
        <x:v>minutes/assisted task</x:v>
      </x:c>
      <x:c r="C40" s="17"/>
      <x:c r="D40" s="17"/>
      <x:c r="E40" s="17"/>
      <x:c r="F40" s="7" t="str">
        <x:v>unknown</x:v>
      </x:c>
      <x:c r="G40" s="14" t="str">
        <x:v>synthetic_cases.py::SYN-ESS-UNKNOWN::checking_minutes; fictional training assumption, not observed evidence</x:v>
      </x:c>
      <x:c r="H40" s="9" t="str"/>
    </x:row>
    <x:row r="41" ht="21" customHeight="1">
      <x:c r="A41" s="3"/>
      <x:c r="B41" s="3"/>
      <x:c r="C41" s="3"/>
      <x:c r="D41" s="3"/>
      <x:c r="E41" s="3"/>
      <x:c r="F41" s="3"/>
      <x:c r="G41" s="3"/>
      <x:c r="H41" s="3"/>
    </x:row>
    <x:row r="42" ht="21" customHeight="1">
      <x:c r="A42" s="13" t="str">
        <x:v>rework_fraction</x:v>
      </x:c>
      <x:c r="B42" s="13" t="str">
        <x:v>fraction</x:v>
      </x:c>
      <x:c r="C42" s="18" t="n">
        <x:f>IF(AND(COUNT(CHOOSE($B$4,C43,C44,C45,C46),CHOOSE($B$4,D43,D44,D45,D46),CHOOSE($B$4,E43,E44,E45,E46))=3,CHOOSE($B$4,C43,C44,C45,C46)&gt;=0,CHOOSE($B$4,C43,C44,C45,C46)&lt;=CHOOSE($B$4,D43,D44,D45,D46),CHOOSE($B$4,D43,D44,D45,D46)&lt;=CHOOSE($B$4,E43,E44,E45,E46),CHOOSE($B$4,E43,E44,E45,E46)&lt;=1),CHOOSE($B$4,C43,C44,C45,C46),"UNKNOWN")</x:f>
        <x:v>0.1</x:v>
      </x:c>
      <x:c r="D42" s="18" t="n">
        <x:f>IF(AND(COUNT(CHOOSE($B$4,C43,C44,C45,C46),CHOOSE($B$4,D43,D44,D45,D46),CHOOSE($B$4,E43,E44,E45,E46))=3,CHOOSE($B$4,C43,C44,C45,C46)&gt;=0,CHOOSE($B$4,C43,C44,C45,C46)&lt;=CHOOSE($B$4,D43,D44,D45,D46),CHOOSE($B$4,D43,D44,D45,D46)&lt;=CHOOSE($B$4,E43,E44,E45,E46),CHOOSE($B$4,E43,E44,E45,E46)&lt;=1),CHOOSE($B$4,D43,D44,D45,D46),"UNKNOWN")</x:f>
        <x:v>0.15</x:v>
      </x:c>
      <x:c r="E42" s="18" t="n">
        <x:f>IF(AND(COUNT(CHOOSE($B$4,C43,C44,C45,C46),CHOOSE($B$4,D43,D44,D45,D46),CHOOSE($B$4,E43,E44,E45,E46))=3,CHOOSE($B$4,C43,C44,C45,C46)&gt;=0,CHOOSE($B$4,C43,C44,C45,C46)&lt;=CHOOSE($B$4,D43,D44,D45,D46),CHOOSE($B$4,D43,D44,D45,D46)&lt;=CHOOSE($B$4,E43,E44,E45,E46),CHOOSE($B$4,E43,E44,E45,E46)&lt;=1),CHOOSE($B$4,E43,E44,E45,E46),"UNKNOWN")</x:f>
        <x:v>0.2</x:v>
      </x:c>
      <x:c r="F42" s="13"/>
      <x:c r="G42" s="13"/>
      <x:c r="H42" s="13"/>
    </x:row>
    <x:row r="43" ht="48" customHeight="1">
      <x:c r="A43" s="3" t="str">
        <x:v>SYN-ESS-DOCS</x:v>
      </x:c>
      <x:c r="B43" s="3" t="str">
        <x:v>fraction</x:v>
      </x:c>
      <x:c r="C43" s="19" t="n">
        <x:v>0.1</x:v>
      </x:c>
      <x:c r="D43" s="19" t="n">
        <x:v>0.15</x:v>
      </x:c>
      <x:c r="E43" s="19" t="n">
        <x:v>0.2</x:v>
      </x:c>
      <x:c r="F43" s="7" t="str">
        <x:v>synthetic</x:v>
      </x:c>
      <x:c r="G43" s="14" t="str">
        <x:v>synthetic_cases.py::SYN-ESS-DOCS::rework_fraction; fictional training assumption, not observed evidence</x:v>
      </x:c>
      <x:c r="H43" s="9" t="str"/>
    </x:row>
    <x:row r="44" ht="48" customHeight="1">
      <x:c r="A44" s="3" t="str">
        <x:v>SYN-RIS-REVIEW</x:v>
      </x:c>
      <x:c r="B44" s="3" t="str">
        <x:v>fraction</x:v>
      </x:c>
      <x:c r="C44" s="19" t="n">
        <x:v>0.3</x:v>
      </x:c>
      <x:c r="D44" s="19" t="n">
        <x:v>0.4</x:v>
      </x:c>
      <x:c r="E44" s="19" t="n">
        <x:v>0.6</x:v>
      </x:c>
      <x:c r="F44" s="7" t="str">
        <x:v>synthetic</x:v>
      </x:c>
      <x:c r="G44" s="14" t="str">
        <x:v>synthetic_cases.py::SYN-RIS-REVIEW::rework_fraction; fictional training assumption, not observed evidence</x:v>
      </x:c>
      <x:c r="H44" s="9" t="str"/>
    </x:row>
    <x:row r="45" ht="48" customHeight="1">
      <x:c r="A45" s="3" t="str">
        <x:v>SYN-IAM-SUMMARY</x:v>
      </x:c>
      <x:c r="B45" s="3" t="str">
        <x:v>fraction</x:v>
      </x:c>
      <x:c r="C45" s="19" t="n">
        <x:v>0.1</x:v>
      </x:c>
      <x:c r="D45" s="19" t="n">
        <x:v>0.25</x:v>
      </x:c>
      <x:c r="E45" s="19" t="n">
        <x:v>0.4</x:v>
      </x:c>
      <x:c r="F45" s="7" t="str">
        <x:v>synthetic</x:v>
      </x:c>
      <x:c r="G45" s="14" t="str">
        <x:v>synthetic_cases.py::SYN-IAM-SUMMARY::rework_fraction; fictional training assumption, not observed evidence</x:v>
      </x:c>
      <x:c r="H45" s="9" t="str"/>
    </x:row>
    <x:row r="46" ht="48" customHeight="1">
      <x:c r="A46" s="3" t="str">
        <x:v>SYN-ESS-UNKNOWN</x:v>
      </x:c>
      <x:c r="B46" s="3" t="str">
        <x:v>fraction</x:v>
      </x:c>
      <x:c r="C46" s="19"/>
      <x:c r="D46" s="19"/>
      <x:c r="E46" s="19"/>
      <x:c r="F46" s="7" t="str">
        <x:v>unknown</x:v>
      </x:c>
      <x:c r="G46" s="14" t="str">
        <x:v>synthetic_cases.py::SYN-ESS-UNKNOWN::rework_fraction; fictional training assumption, not observed evidence</x:v>
      </x:c>
      <x:c r="H46" s="9" t="str"/>
    </x:row>
    <x:row r="47" ht="21" customHeight="1">
      <x:c r="A47" s="3"/>
      <x:c r="B47" s="3"/>
      <x:c r="C47" s="3"/>
      <x:c r="D47" s="3"/>
      <x:c r="E47" s="3"/>
      <x:c r="F47" s="3"/>
      <x:c r="G47" s="3"/>
      <x:c r="H47" s="3"/>
    </x:row>
    <x:row r="48" ht="21" customHeight="1">
      <x:c r="A48" s="13" t="str">
        <x:v>rework_minutes</x:v>
      </x:c>
      <x:c r="B48" s="13" t="str">
        <x:v>minutes/reworked task</x:v>
      </x:c>
      <x:c r="C48" s="16" t="n">
        <x:f>IF(AND(COUNT(CHOOSE($B$4,C49,C50,C51,C52),CHOOSE($B$4,D49,D50,D51,D52),CHOOSE($B$4,E49,E50,E51,E52))=3,CHOOSE($B$4,C49,C50,C51,C52)&gt;=0,CHOOSE($B$4,C49,C50,C51,C52)&lt;=CHOOSE($B$4,D49,D50,D51,D52),CHOOSE($B$4,D49,D50,D51,D52)&lt;=CHOOSE($B$4,E49,E50,E51,E52)),CHOOSE($B$4,C49,C50,C51,C52),"UNKNOWN")</x:f>
        <x:v>10</x:v>
      </x:c>
      <x:c r="D48" s="16" t="n">
        <x:f>IF(AND(COUNT(CHOOSE($B$4,C49,C50,C51,C52),CHOOSE($B$4,D49,D50,D51,D52),CHOOSE($B$4,E49,E50,E51,E52))=3,CHOOSE($B$4,C49,C50,C51,C52)&gt;=0,CHOOSE($B$4,C49,C50,C51,C52)&lt;=CHOOSE($B$4,D49,D50,D51,D52),CHOOSE($B$4,D49,D50,D51,D52)&lt;=CHOOSE($B$4,E49,E50,E51,E52)),CHOOSE($B$4,D49,D50,D51,D52),"UNKNOWN")</x:f>
        <x:v>15</x:v>
      </x:c>
      <x:c r="E48" s="16" t="n">
        <x:f>IF(AND(COUNT(CHOOSE($B$4,C49,C50,C51,C52),CHOOSE($B$4,D49,D50,D51,D52),CHOOSE($B$4,E49,E50,E51,E52))=3,CHOOSE($B$4,C49,C50,C51,C52)&gt;=0,CHOOSE($B$4,C49,C50,C51,C52)&lt;=CHOOSE($B$4,D49,D50,D51,D52),CHOOSE($B$4,D49,D50,D51,D52)&lt;=CHOOSE($B$4,E49,E50,E51,E52)),CHOOSE($B$4,E49,E50,E51,E52),"UNKNOWN")</x:f>
        <x:v>20</x:v>
      </x:c>
      <x:c r="F48" s="13"/>
      <x:c r="G48" s="13"/>
      <x:c r="H48" s="13"/>
    </x:row>
    <x:row r="49" ht="48" customHeight="1">
      <x:c r="A49" s="3" t="str">
        <x:v>SYN-ESS-DOCS</x:v>
      </x:c>
      <x:c r="B49" s="3" t="str">
        <x:v>minutes/reworked task</x:v>
      </x:c>
      <x:c r="C49" s="17" t="n">
        <x:v>10</x:v>
      </x:c>
      <x:c r="D49" s="17" t="n">
        <x:v>15</x:v>
      </x:c>
      <x:c r="E49" s="17" t="n">
        <x:v>20</x:v>
      </x:c>
      <x:c r="F49" s="7" t="str">
        <x:v>synthetic</x:v>
      </x:c>
      <x:c r="G49" s="14" t="str">
        <x:v>synthetic_cases.py::SYN-ESS-DOCS::rework_minutes; fictional training assumption, not observed evidence</x:v>
      </x:c>
      <x:c r="H49" s="9" t="str"/>
    </x:row>
    <x:row r="50" ht="48" customHeight="1">
      <x:c r="A50" s="3" t="str">
        <x:v>SYN-RIS-REVIEW</x:v>
      </x:c>
      <x:c r="B50" s="3" t="str">
        <x:v>minutes/reworked task</x:v>
      </x:c>
      <x:c r="C50" s="17" t="n">
        <x:v>20</x:v>
      </x:c>
      <x:c r="D50" s="17" t="n">
        <x:v>30</x:v>
      </x:c>
      <x:c r="E50" s="17" t="n">
        <x:v>45</x:v>
      </x:c>
      <x:c r="F50" s="7" t="str">
        <x:v>synthetic</x:v>
      </x:c>
      <x:c r="G50" s="14" t="str">
        <x:v>synthetic_cases.py::SYN-RIS-REVIEW::rework_minutes; fictional training assumption, not observed evidence</x:v>
      </x:c>
      <x:c r="H50" s="9" t="str"/>
    </x:row>
    <x:row r="51" ht="48" customHeight="1">
      <x:c r="A51" s="3" t="str">
        <x:v>SYN-IAM-SUMMARY</x:v>
      </x:c>
      <x:c r="B51" s="3" t="str">
        <x:v>minutes/reworked task</x:v>
      </x:c>
      <x:c r="C51" s="17" t="n">
        <x:v>10</x:v>
      </x:c>
      <x:c r="D51" s="17" t="n">
        <x:v>15</x:v>
      </x:c>
      <x:c r="E51" s="17" t="n">
        <x:v>25</x:v>
      </x:c>
      <x:c r="F51" s="7" t="str">
        <x:v>synthetic</x:v>
      </x:c>
      <x:c r="G51" s="14" t="str">
        <x:v>synthetic_cases.py::SYN-IAM-SUMMARY::rework_minutes; fictional training assumption, not observed evidence</x:v>
      </x:c>
      <x:c r="H51" s="9" t="str"/>
    </x:row>
    <x:row r="52" ht="48" customHeight="1">
      <x:c r="A52" s="3" t="str">
        <x:v>SYN-ESS-UNKNOWN</x:v>
      </x:c>
      <x:c r="B52" s="3" t="str">
        <x:v>minutes/reworked task</x:v>
      </x:c>
      <x:c r="C52" s="17" t="n">
        <x:v>10</x:v>
      </x:c>
      <x:c r="D52" s="17" t="n">
        <x:v>15</x:v>
      </x:c>
      <x:c r="E52" s="17" t="n">
        <x:v>20</x:v>
      </x:c>
      <x:c r="F52" s="7" t="str">
        <x:v>synthetic</x:v>
      </x:c>
      <x:c r="G52" s="14" t="str">
        <x:v>synthetic_cases.py::SYN-ESS-UNKNOWN::rework_minutes; fictional training assumption, not observed evidence</x:v>
      </x:c>
      <x:c r="H52" s="9" t="str"/>
    </x:row>
    <x:row r="53" ht="21" customHeight="1">
      <x:c r="A53" s="3"/>
      <x:c r="B53" s="3"/>
      <x:c r="C53" s="3"/>
      <x:c r="D53" s="3"/>
      <x:c r="E53" s="3"/>
      <x:c r="F53" s="3"/>
      <x:c r="G53" s="3"/>
      <x:c r="H53" s="3"/>
    </x:row>
    <x:row r="54" ht="21" customHeight="1">
      <x:c r="A54" s="13" t="str">
        <x:v>attempts_per_task</x:v>
      </x:c>
      <x:c r="B54" s="13" t="str">
        <x:v>generation attempts/task</x:v>
      </x:c>
      <x:c r="C54" s="16" t="n">
        <x:f>IF(AND(COUNT(CHOOSE($B$4,C55,C56,C57,C58),CHOOSE($B$4,D55,D56,D57,D58),CHOOSE($B$4,E55,E56,E57,E58))=3,CHOOSE($B$4,C55,C56,C57,C58)&gt;=0,CHOOSE($B$4,C55,C56,C57,C58)&lt;=CHOOSE($B$4,D55,D56,D57,D58),CHOOSE($B$4,D55,D56,D57,D58)&lt;=CHOOSE($B$4,E55,E56,E57,E58)),CHOOSE($B$4,C55,C56,C57,C58),"UNKNOWN")</x:f>
        <x:v>1</x:v>
      </x:c>
      <x:c r="D54" s="16" t="n">
        <x:f>IF(AND(COUNT(CHOOSE($B$4,C55,C56,C57,C58),CHOOSE($B$4,D55,D56,D57,D58),CHOOSE($B$4,E55,E56,E57,E58))=3,CHOOSE($B$4,C55,C56,C57,C58)&gt;=0,CHOOSE($B$4,C55,C56,C57,C58)&lt;=CHOOSE($B$4,D55,D56,D57,D58),CHOOSE($B$4,D55,D56,D57,D58)&lt;=CHOOSE($B$4,E55,E56,E57,E58)),CHOOSE($B$4,D55,D56,D57,D58),"UNKNOWN")</x:f>
        <x:v>1.5</x:v>
      </x:c>
      <x:c r="E54" s="16" t="n">
        <x:f>IF(AND(COUNT(CHOOSE($B$4,C55,C56,C57,C58),CHOOSE($B$4,D55,D56,D57,D58),CHOOSE($B$4,E55,E56,E57,E58))=3,CHOOSE($B$4,C55,C56,C57,C58)&gt;=0,CHOOSE($B$4,C55,C56,C57,C58)&lt;=CHOOSE($B$4,D55,D56,D57,D58),CHOOSE($B$4,D55,D56,D57,D58)&lt;=CHOOSE($B$4,E55,E56,E57,E58)),CHOOSE($B$4,E55,E56,E57,E58),"UNKNOWN")</x:f>
        <x:v>2</x:v>
      </x:c>
      <x:c r="F54" s="13"/>
      <x:c r="G54" s="13"/>
      <x:c r="H54" s="13"/>
    </x:row>
    <x:row r="55" ht="48" customHeight="1">
      <x:c r="A55" s="3" t="str">
        <x:v>SYN-ESS-DOCS</x:v>
      </x:c>
      <x:c r="B55" s="3" t="str">
        <x:v>generation attempts/task</x:v>
      </x:c>
      <x:c r="C55" s="17" t="n">
        <x:v>1</x:v>
      </x:c>
      <x:c r="D55" s="17" t="n">
        <x:v>1.5</x:v>
      </x:c>
      <x:c r="E55" s="17" t="n">
        <x:v>2</x:v>
      </x:c>
      <x:c r="F55" s="7" t="str">
        <x:v>synthetic</x:v>
      </x:c>
      <x:c r="G55" s="14" t="str">
        <x:v>synthetic_cases.py::SYN-ESS-DOCS::attempts_per_task; fictional training assumption, not observed evidence</x:v>
      </x:c>
      <x:c r="H55" s="9" t="str"/>
    </x:row>
    <x:row r="56" ht="48" customHeight="1">
      <x:c r="A56" s="3" t="str">
        <x:v>SYN-RIS-REVIEW</x:v>
      </x:c>
      <x:c r="B56" s="3" t="str">
        <x:v>generation attempts/task</x:v>
      </x:c>
      <x:c r="C56" s="17" t="n">
        <x:v>1</x:v>
      </x:c>
      <x:c r="D56" s="17" t="n">
        <x:v>2</x:v>
      </x:c>
      <x:c r="E56" s="17" t="n">
        <x:v>3</x:v>
      </x:c>
      <x:c r="F56" s="7" t="str">
        <x:v>synthetic</x:v>
      </x:c>
      <x:c r="G56" s="14" t="str">
        <x:v>synthetic_cases.py::SYN-RIS-REVIEW::attempts_per_task; fictional training assumption, not observed evidence</x:v>
      </x:c>
      <x:c r="H56" s="9" t="str"/>
    </x:row>
    <x:row r="57" ht="48" customHeight="1">
      <x:c r="A57" s="3" t="str">
        <x:v>SYN-IAM-SUMMARY</x:v>
      </x:c>
      <x:c r="B57" s="3" t="str">
        <x:v>generation attempts/task</x:v>
      </x:c>
      <x:c r="C57" s="17" t="n">
        <x:v>1</x:v>
      </x:c>
      <x:c r="D57" s="17" t="n">
        <x:v>1.5</x:v>
      </x:c>
      <x:c r="E57" s="17" t="n">
        <x:v>2</x:v>
      </x:c>
      <x:c r="F57" s="7" t="str">
        <x:v>synthetic</x:v>
      </x:c>
      <x:c r="G57" s="14" t="str">
        <x:v>synthetic_cases.py::SYN-IAM-SUMMARY::attempts_per_task; fictional training assumption, not observed evidence</x:v>
      </x:c>
      <x:c r="H57" s="9" t="str"/>
    </x:row>
    <x:row r="58" ht="48" customHeight="1">
      <x:c r="A58" s="3" t="str">
        <x:v>SYN-ESS-UNKNOWN</x:v>
      </x:c>
      <x:c r="B58" s="3" t="str">
        <x:v>generation attempts/task</x:v>
      </x:c>
      <x:c r="C58" s="17" t="n">
        <x:v>1</x:v>
      </x:c>
      <x:c r="D58" s="17" t="n">
        <x:v>1.5</x:v>
      </x:c>
      <x:c r="E58" s="17" t="n">
        <x:v>2</x:v>
      </x:c>
      <x:c r="F58" s="7" t="str">
        <x:v>synthetic</x:v>
      </x:c>
      <x:c r="G58" s="14" t="str">
        <x:v>synthetic_cases.py::SYN-ESS-UNKNOWN::attempts_per_task; fictional training assumption, not observed evidence</x:v>
      </x:c>
      <x:c r="H58" s="9" t="str"/>
    </x:row>
    <x:row r="59" ht="21" customHeight="1">
      <x:c r="A59" s="3"/>
      <x:c r="B59" s="3"/>
      <x:c r="C59" s="3"/>
      <x:c r="D59" s="3"/>
      <x:c r="E59" s="3"/>
      <x:c r="F59" s="3"/>
      <x:c r="G59" s="3"/>
      <x:c r="H59" s="3"/>
    </x:row>
    <x:row r="60" ht="21" customHeight="1">
      <x:c r="A60" s="13" t="str">
        <x:v>generation_cash_per_attempt</x:v>
      </x:c>
      <x:c r="B60" s="13" t="str">
        <x:v>currency/attempt</x:v>
      </x:c>
      <x:c r="C60" s="16" t="n">
        <x:f>IF(AND(COUNT(CHOOSE($B$4,C61,C62,C63,C64),CHOOSE($B$4,D61,D62,D63,D64),CHOOSE($B$4,E61,E62,E63,E64))=3,CHOOSE($B$4,C61,C62,C63,C64)&gt;=0,CHOOSE($B$4,C61,C62,C63,C64)&lt;=CHOOSE($B$4,D61,D62,D63,D64),CHOOSE($B$4,D61,D62,D63,D64)&lt;=CHOOSE($B$4,E61,E62,E63,E64)),CHOOSE($B$4,C61,C62,C63,C64),"UNKNOWN")</x:f>
        <x:v>0.03</x:v>
      </x:c>
      <x:c r="D60" s="16" t="n">
        <x:f>IF(AND(COUNT(CHOOSE($B$4,C61,C62,C63,C64),CHOOSE($B$4,D61,D62,D63,D64),CHOOSE($B$4,E61,E62,E63,E64))=3,CHOOSE($B$4,C61,C62,C63,C64)&gt;=0,CHOOSE($B$4,C61,C62,C63,C64)&lt;=CHOOSE($B$4,D61,D62,D63,D64),CHOOSE($B$4,D61,D62,D63,D64)&lt;=CHOOSE($B$4,E61,E62,E63,E64)),CHOOSE($B$4,D61,D62,D63,D64),"UNKNOWN")</x:f>
        <x:v>0.05</x:v>
      </x:c>
      <x:c r="E60" s="16" t="n">
        <x:f>IF(AND(COUNT(CHOOSE($B$4,C61,C62,C63,C64),CHOOSE($B$4,D61,D62,D63,D64),CHOOSE($B$4,E61,E62,E63,E64))=3,CHOOSE($B$4,C61,C62,C63,C64)&gt;=0,CHOOSE($B$4,C61,C62,C63,C64)&lt;=CHOOSE($B$4,D61,D62,D63,D64),CHOOSE($B$4,D61,D62,D63,D64)&lt;=CHOOSE($B$4,E61,E62,E63,E64)),CHOOSE($B$4,E61,E62,E63,E64),"UNKNOWN")</x:f>
        <x:v>0.08</x:v>
      </x:c>
      <x:c r="F60" s="13"/>
      <x:c r="G60" s="13"/>
      <x:c r="H60" s="13"/>
    </x:row>
    <x:row r="61" ht="48" customHeight="1">
      <x:c r="A61" s="3" t="str">
        <x:v>SYN-ESS-DOCS</x:v>
      </x:c>
      <x:c r="B61" s="3" t="str">
        <x:v>currency/attempt</x:v>
      </x:c>
      <x:c r="C61" s="17" t="n">
        <x:v>0.03</x:v>
      </x:c>
      <x:c r="D61" s="17" t="n">
        <x:v>0.05</x:v>
      </x:c>
      <x:c r="E61" s="17" t="n">
        <x:v>0.08</x:v>
      </x:c>
      <x:c r="F61" s="7" t="str">
        <x:v>synthetic</x:v>
      </x:c>
      <x:c r="G61" s="14" t="str">
        <x:v>synthetic_cases.py::SYN-ESS-DOCS::generation_cash_per_attempt; fictional training assumption, not observed evidence</x:v>
      </x:c>
      <x:c r="H61" s="9" t="str"/>
    </x:row>
    <x:row r="62" ht="48" customHeight="1">
      <x:c r="A62" s="3" t="str">
        <x:v>SYN-RIS-REVIEW</x:v>
      </x:c>
      <x:c r="B62" s="3" t="str">
        <x:v>currency/attempt</x:v>
      </x:c>
      <x:c r="C62" s="17" t="n">
        <x:v>0.1</x:v>
      </x:c>
      <x:c r="D62" s="17" t="n">
        <x:v>0.2</x:v>
      </x:c>
      <x:c r="E62" s="17" t="n">
        <x:v>0.3</x:v>
      </x:c>
      <x:c r="F62" s="7" t="str">
        <x:v>synthetic</x:v>
      </x:c>
      <x:c r="G62" s="14" t="str">
        <x:v>synthetic_cases.py::SYN-RIS-REVIEW::generation_cash_per_attempt; fictional training assumption, not observed evidence</x:v>
      </x:c>
      <x:c r="H62" s="9" t="str"/>
    </x:row>
    <x:row r="63" ht="48" customHeight="1">
      <x:c r="A63" s="3" t="str">
        <x:v>SYN-IAM-SUMMARY</x:v>
      </x:c>
      <x:c r="B63" s="3" t="str">
        <x:v>currency/attempt</x:v>
      </x:c>
      <x:c r="C63" s="17" t="n">
        <x:v>0.03</x:v>
      </x:c>
      <x:c r="D63" s="17" t="n">
        <x:v>0.05</x:v>
      </x:c>
      <x:c r="E63" s="17" t="n">
        <x:v>0.08</x:v>
      </x:c>
      <x:c r="F63" s="7" t="str">
        <x:v>synthetic</x:v>
      </x:c>
      <x:c r="G63" s="14" t="str">
        <x:v>synthetic_cases.py::SYN-IAM-SUMMARY::generation_cash_per_attempt; fictional training assumption, not observed evidence</x:v>
      </x:c>
      <x:c r="H63" s="9" t="str"/>
    </x:row>
    <x:row r="64" ht="48" customHeight="1">
      <x:c r="A64" s="3" t="str">
        <x:v>SYN-ESS-UNKNOWN</x:v>
      </x:c>
      <x:c r="B64" s="3" t="str">
        <x:v>currency/attempt</x:v>
      </x:c>
      <x:c r="C64" s="17" t="n">
        <x:v>0.03</x:v>
      </x:c>
      <x:c r="D64" s="17" t="n">
        <x:v>0.05</x:v>
      </x:c>
      <x:c r="E64" s="17" t="n">
        <x:v>0.08</x:v>
      </x:c>
      <x:c r="F64" s="7" t="str">
        <x:v>synthetic</x:v>
      </x:c>
      <x:c r="G64" s="14" t="str">
        <x:v>synthetic_cases.py::SYN-ESS-UNKNOWN::generation_cash_per_attempt; fictional training assumption, not observed evidence</x:v>
      </x:c>
      <x:c r="H64" s="9" t="str"/>
    </x:row>
    <x:row r="65" ht="21" customHeight="1">
      <x:c r="A65" s="3"/>
      <x:c r="B65" s="3"/>
      <x:c r="C65" s="3"/>
      <x:c r="D65" s="3"/>
      <x:c r="E65" s="3"/>
      <x:c r="F65" s="3"/>
      <x:c r="G65" s="3"/>
      <x:c r="H65" s="3"/>
    </x:row>
    <x:row r="66" ht="21" customHeight="1">
      <x:c r="A66" s="13" t="str">
        <x:v>loaded_hourly_rate</x:v>
      </x:c>
      <x:c r="B66" s="13" t="str">
        <x:v>currency/hour</x:v>
      </x:c>
      <x:c r="C66" s="16" t="n">
        <x:f>IF(AND(COUNT(CHOOSE($B$4,C67,C68,C69,C70),CHOOSE($B$4,D67,D68,D69,D70),CHOOSE($B$4,E67,E68,E69,E70))=3,CHOOSE($B$4,C67,C68,C69,C70)&gt;=0,CHOOSE($B$4,C67,C68,C69,C70)&lt;=CHOOSE($B$4,D67,D68,D69,D70),CHOOSE($B$4,D67,D68,D69,D70)&lt;=CHOOSE($B$4,E67,E68,E69,E70)),CHOOSE($B$4,C67,C68,C69,C70),"UNKNOWN")</x:f>
        <x:v>50</x:v>
      </x:c>
      <x:c r="D66" s="16" t="n">
        <x:f>IF(AND(COUNT(CHOOSE($B$4,C67,C68,C69,C70),CHOOSE($B$4,D67,D68,D69,D70),CHOOSE($B$4,E67,E68,E69,E70))=3,CHOOSE($B$4,C67,C68,C69,C70)&gt;=0,CHOOSE($B$4,C67,C68,C69,C70)&lt;=CHOOSE($B$4,D67,D68,D69,D70),CHOOSE($B$4,D67,D68,D69,D70)&lt;=CHOOSE($B$4,E67,E68,E69,E70)),CHOOSE($B$4,D67,D68,D69,D70),"UNKNOWN")</x:f>
        <x:v>60</x:v>
      </x:c>
      <x:c r="E66" s="16" t="n">
        <x:f>IF(AND(COUNT(CHOOSE($B$4,C67,C68,C69,C70),CHOOSE($B$4,D67,D68,D69,D70),CHOOSE($B$4,E67,E68,E69,E70))=3,CHOOSE($B$4,C67,C68,C69,C70)&gt;=0,CHOOSE($B$4,C67,C68,C69,C70)&lt;=CHOOSE($B$4,D67,D68,D69,D70),CHOOSE($B$4,D67,D68,D69,D70)&lt;=CHOOSE($B$4,E67,E68,E69,E70)),CHOOSE($B$4,E67,E68,E69,E70),"UNKNOWN")</x:f>
        <x:v>70</x:v>
      </x:c>
      <x:c r="F66" s="13"/>
      <x:c r="G66" s="13"/>
      <x:c r="H66" s="13"/>
    </x:row>
    <x:row r="67" ht="48" customHeight="1">
      <x:c r="A67" s="3" t="str">
        <x:v>SYN-ESS-DOCS</x:v>
      </x:c>
      <x:c r="B67" s="3" t="str">
        <x:v>currency/hour</x:v>
      </x:c>
      <x:c r="C67" s="17" t="n">
        <x:v>50</x:v>
      </x:c>
      <x:c r="D67" s="17" t="n">
        <x:v>60</x:v>
      </x:c>
      <x:c r="E67" s="17" t="n">
        <x:v>70</x:v>
      </x:c>
      <x:c r="F67" s="7" t="str">
        <x:v>synthetic</x:v>
      </x:c>
      <x:c r="G67" s="14" t="str">
        <x:v>synthetic_cases.py::SYN-ESS-DOCS::loaded_hourly_rate; fictional training assumption, not observed evidence</x:v>
      </x:c>
      <x:c r="H67" s="9" t="str"/>
    </x:row>
    <x:row r="68" ht="48" customHeight="1">
      <x:c r="A68" s="3" t="str">
        <x:v>SYN-RIS-REVIEW</x:v>
      </x:c>
      <x:c r="B68" s="3" t="str">
        <x:v>currency/hour</x:v>
      </x:c>
      <x:c r="C68" s="17" t="n">
        <x:v>50</x:v>
      </x:c>
      <x:c r="D68" s="17" t="n">
        <x:v>60</x:v>
      </x:c>
      <x:c r="E68" s="17" t="n">
        <x:v>70</x:v>
      </x:c>
      <x:c r="F68" s="7" t="str">
        <x:v>synthetic</x:v>
      </x:c>
      <x:c r="G68" s="14" t="str">
        <x:v>synthetic_cases.py::SYN-RIS-REVIEW::loaded_hourly_rate; fictional training assumption, not observed evidence</x:v>
      </x:c>
      <x:c r="H68" s="9" t="str"/>
    </x:row>
    <x:row r="69" ht="48" customHeight="1">
      <x:c r="A69" s="3" t="str">
        <x:v>SYN-IAM-SUMMARY</x:v>
      </x:c>
      <x:c r="B69" s="3" t="str">
        <x:v>currency/hour</x:v>
      </x:c>
      <x:c r="C69" s="17" t="n">
        <x:v>50</x:v>
      </x:c>
      <x:c r="D69" s="17" t="n">
        <x:v>60</x:v>
      </x:c>
      <x:c r="E69" s="17" t="n">
        <x:v>70</x:v>
      </x:c>
      <x:c r="F69" s="7" t="str">
        <x:v>synthetic</x:v>
      </x:c>
      <x:c r="G69" s="14" t="str">
        <x:v>synthetic_cases.py::SYN-IAM-SUMMARY::loaded_hourly_rate; fictional training assumption, not observed evidence</x:v>
      </x:c>
      <x:c r="H69" s="9" t="str"/>
    </x:row>
    <x:row r="70" ht="48" customHeight="1">
      <x:c r="A70" s="3" t="str">
        <x:v>SYN-ESS-UNKNOWN</x:v>
      </x:c>
      <x:c r="B70" s="3" t="str">
        <x:v>currency/hour</x:v>
      </x:c>
      <x:c r="C70" s="17" t="n">
        <x:v>50</x:v>
      </x:c>
      <x:c r="D70" s="17" t="n">
        <x:v>60</x:v>
      </x:c>
      <x:c r="E70" s="17" t="n">
        <x:v>70</x:v>
      </x:c>
      <x:c r="F70" s="7" t="str">
        <x:v>synthetic</x:v>
      </x:c>
      <x:c r="G70" s="14" t="str">
        <x:v>synthetic_cases.py::SYN-ESS-UNKNOWN::loaded_hourly_rate; fictional training assumption, not observed evidence</x:v>
      </x:c>
      <x:c r="H70" s="9" t="str"/>
    </x:row>
    <x:row r="71" ht="21" customHeight="1">
      <x:c r="A71" s="3"/>
      <x:c r="B71" s="3"/>
      <x:c r="C71" s="3"/>
      <x:c r="D71" s="3"/>
      <x:c r="E71" s="3"/>
      <x:c r="F71" s="3"/>
      <x:c r="G71" s="3"/>
      <x:c r="H71" s="3"/>
    </x:row>
    <x:row r="72" ht="21" customHeight="1">
      <x:c r="A72" s="13" t="str">
        <x:v>integration_hours</x:v>
      </x:c>
      <x:c r="B72" s="13" t="str">
        <x:v>hours one-time</x:v>
      </x:c>
      <x:c r="C72" s="16" t="n">
        <x:f>IF(AND(COUNT(CHOOSE($B$4,C73,C74,C75,C76),CHOOSE($B$4,D73,D74,D75,D76),CHOOSE($B$4,E73,E74,E75,E76))=3,CHOOSE($B$4,C73,C74,C75,C76)&gt;=0,CHOOSE($B$4,C73,C74,C75,C76)&lt;=CHOOSE($B$4,D73,D74,D75,D76),CHOOSE($B$4,D73,D74,D75,D76)&lt;=CHOOSE($B$4,E73,E74,E75,E76)),CHOOSE($B$4,C73,C74,C75,C76),"UNKNOWN")</x:f>
        <x:v>12</x:v>
      </x:c>
      <x:c r="D72" s="16" t="n">
        <x:f>IF(AND(COUNT(CHOOSE($B$4,C73,C74,C75,C76),CHOOSE($B$4,D73,D74,D75,D76),CHOOSE($B$4,E73,E74,E75,E76))=3,CHOOSE($B$4,C73,C74,C75,C76)&gt;=0,CHOOSE($B$4,C73,C74,C75,C76)&lt;=CHOOSE($B$4,D73,D74,D75,D76),CHOOSE($B$4,D73,D74,D75,D76)&lt;=CHOOSE($B$4,E73,E74,E75,E76)),CHOOSE($B$4,D73,D74,D75,D76),"UNKNOWN")</x:f>
        <x:v>18</x:v>
      </x:c>
      <x:c r="E72" s="16" t="n">
        <x:f>IF(AND(COUNT(CHOOSE($B$4,C73,C74,C75,C76),CHOOSE($B$4,D73,D74,D75,D76),CHOOSE($B$4,E73,E74,E75,E76))=3,CHOOSE($B$4,C73,C74,C75,C76)&gt;=0,CHOOSE($B$4,C73,C74,C75,C76)&lt;=CHOOSE($B$4,D73,D74,D75,D76),CHOOSE($B$4,D73,D74,D75,D76)&lt;=CHOOSE($B$4,E73,E74,E75,E76)),CHOOSE($B$4,E73,E74,E75,E76),"UNKNOWN")</x:f>
        <x:v>24</x:v>
      </x:c>
      <x:c r="F72" s="13"/>
      <x:c r="G72" s="13"/>
      <x:c r="H72" s="13"/>
    </x:row>
    <x:row r="73" ht="48" customHeight="1">
      <x:c r="A73" s="3" t="str">
        <x:v>SYN-ESS-DOCS</x:v>
      </x:c>
      <x:c r="B73" s="3" t="str">
        <x:v>hours one-time</x:v>
      </x:c>
      <x:c r="C73" s="17" t="n">
        <x:v>12</x:v>
      </x:c>
      <x:c r="D73" s="17" t="n">
        <x:v>18</x:v>
      </x:c>
      <x:c r="E73" s="17" t="n">
        <x:v>24</x:v>
      </x:c>
      <x:c r="F73" s="7" t="str">
        <x:v>synthetic</x:v>
      </x:c>
      <x:c r="G73" s="14" t="str">
        <x:v>synthetic_cases.py::SYN-ESS-DOCS::integration_hours; fictional training assumption, not observed evidence</x:v>
      </x:c>
      <x:c r="H73" s="9" t="str"/>
    </x:row>
    <x:row r="74" ht="48" customHeight="1">
      <x:c r="A74" s="3" t="str">
        <x:v>SYN-RIS-REVIEW</x:v>
      </x:c>
      <x:c r="B74" s="3" t="str">
        <x:v>hours one-time</x:v>
      </x:c>
      <x:c r="C74" s="17" t="n">
        <x:v>30</x:v>
      </x:c>
      <x:c r="D74" s="17" t="n">
        <x:v>40</x:v>
      </x:c>
      <x:c r="E74" s="17" t="n">
        <x:v>50</x:v>
      </x:c>
      <x:c r="F74" s="7" t="str">
        <x:v>synthetic</x:v>
      </x:c>
      <x:c r="G74" s="14" t="str">
        <x:v>synthetic_cases.py::SYN-RIS-REVIEW::integration_hours; fictional training assumption, not observed evidence</x:v>
      </x:c>
      <x:c r="H74" s="9" t="str"/>
    </x:row>
    <x:row r="75" ht="48" customHeight="1">
      <x:c r="A75" s="3" t="str">
        <x:v>SYN-IAM-SUMMARY</x:v>
      </x:c>
      <x:c r="B75" s="3" t="str">
        <x:v>hours one-time</x:v>
      </x:c>
      <x:c r="C75" s="17" t="n">
        <x:v>10</x:v>
      </x:c>
      <x:c r="D75" s="17" t="n">
        <x:v>18</x:v>
      </x:c>
      <x:c r="E75" s="17" t="n">
        <x:v>25</x:v>
      </x:c>
      <x:c r="F75" s="7" t="str">
        <x:v>synthetic</x:v>
      </x:c>
      <x:c r="G75" s="14" t="str">
        <x:v>synthetic_cases.py::SYN-IAM-SUMMARY::integration_hours; fictional training assumption, not observed evidence</x:v>
      </x:c>
      <x:c r="H75" s="9" t="str"/>
    </x:row>
    <x:row r="76" ht="48" customHeight="1">
      <x:c r="A76" s="3" t="str">
        <x:v>SYN-ESS-UNKNOWN</x:v>
      </x:c>
      <x:c r="B76" s="3" t="str">
        <x:v>hours one-time</x:v>
      </x:c>
      <x:c r="C76" s="17" t="n">
        <x:v>12</x:v>
      </x:c>
      <x:c r="D76" s="17" t="n">
        <x:v>18</x:v>
      </x:c>
      <x:c r="E76" s="17" t="n">
        <x:v>24</x:v>
      </x:c>
      <x:c r="F76" s="7" t="str">
        <x:v>synthetic</x:v>
      </x:c>
      <x:c r="G76" s="14" t="str">
        <x:v>synthetic_cases.py::SYN-ESS-UNKNOWN::integration_hours; fictional training assumption, not observed evidence</x:v>
      </x:c>
      <x:c r="H76" s="9" t="str"/>
    </x:row>
    <x:row r="77" ht="21" customHeight="1">
      <x:c r="A77" s="3"/>
      <x:c r="B77" s="3"/>
      <x:c r="C77" s="3"/>
      <x:c r="D77" s="3"/>
      <x:c r="E77" s="3"/>
      <x:c r="F77" s="3"/>
      <x:c r="G77" s="3"/>
      <x:c r="H77" s="3"/>
    </x:row>
    <x:row r="78" ht="21" customHeight="1">
      <x:c r="A78" s="13" t="str">
        <x:v>setup_cash</x:v>
      </x:c>
      <x:c r="B78" s="13" t="str">
        <x:v>currency one-time</x:v>
      </x:c>
      <x:c r="C78" s="16" t="n">
        <x:f>IF(AND(COUNT(CHOOSE($B$4,C79,C80,C81,C82),CHOOSE($B$4,D79,D80,D81,D82),CHOOSE($B$4,E79,E80,E81,E82))=3,CHOOSE($B$4,C79,C80,C81,C82)&gt;=0,CHOOSE($B$4,C79,C80,C81,C82)&lt;=CHOOSE($B$4,D79,D80,D81,D82),CHOOSE($B$4,D79,D80,D81,D82)&lt;=CHOOSE($B$4,E79,E80,E81,E82)),CHOOSE($B$4,C79,C80,C81,C82),"UNKNOWN")</x:f>
        <x:v>100</x:v>
      </x:c>
      <x:c r="D78" s="16" t="n">
        <x:f>IF(AND(COUNT(CHOOSE($B$4,C79,C80,C81,C82),CHOOSE($B$4,D79,D80,D81,D82),CHOOSE($B$4,E79,E80,E81,E82))=3,CHOOSE($B$4,C79,C80,C81,C82)&gt;=0,CHOOSE($B$4,C79,C80,C81,C82)&lt;=CHOOSE($B$4,D79,D80,D81,D82),CHOOSE($B$4,D79,D80,D81,D82)&lt;=CHOOSE($B$4,E79,E80,E81,E82)),CHOOSE($B$4,D79,D80,D81,D82),"UNKNOWN")</x:f>
        <x:v>150</x:v>
      </x:c>
      <x:c r="E78" s="16" t="n">
        <x:f>IF(AND(COUNT(CHOOSE($B$4,C79,C80,C81,C82),CHOOSE($B$4,D79,D80,D81,D82),CHOOSE($B$4,E79,E80,E81,E82))=3,CHOOSE($B$4,C79,C80,C81,C82)&gt;=0,CHOOSE($B$4,C79,C80,C81,C82)&lt;=CHOOSE($B$4,D79,D80,D81,D82),CHOOSE($B$4,D79,D80,D81,D82)&lt;=CHOOSE($B$4,E79,E80,E81,E82)),CHOOSE($B$4,E79,E80,E81,E82),"UNKNOWN")</x:f>
        <x:v>200</x:v>
      </x:c>
      <x:c r="F78" s="13"/>
      <x:c r="G78" s="13"/>
      <x:c r="H78" s="13"/>
    </x:row>
    <x:row r="79" ht="48" customHeight="1">
      <x:c r="A79" s="3" t="str">
        <x:v>SYN-ESS-DOCS</x:v>
      </x:c>
      <x:c r="B79" s="3" t="str">
        <x:v>currency one-time</x:v>
      </x:c>
      <x:c r="C79" s="17" t="n">
        <x:v>100</x:v>
      </x:c>
      <x:c r="D79" s="17" t="n">
        <x:v>150</x:v>
      </x:c>
      <x:c r="E79" s="17" t="n">
        <x:v>200</x:v>
      </x:c>
      <x:c r="F79" s="7" t="str">
        <x:v>synthetic</x:v>
      </x:c>
      <x:c r="G79" s="14" t="str">
        <x:v>synthetic_cases.py::SYN-ESS-DOCS::setup_cash; fictional training assumption, not observed evidence</x:v>
      </x:c>
      <x:c r="H79" s="9" t="str"/>
    </x:row>
    <x:row r="80" ht="48" customHeight="1">
      <x:c r="A80" s="3" t="str">
        <x:v>SYN-RIS-REVIEW</x:v>
      </x:c>
      <x:c r="B80" s="3" t="str">
        <x:v>currency one-time</x:v>
      </x:c>
      <x:c r="C80" s="17" t="n">
        <x:v>100</x:v>
      </x:c>
      <x:c r="D80" s="17" t="n">
        <x:v>150</x:v>
      </x:c>
      <x:c r="E80" s="17" t="n">
        <x:v>200</x:v>
      </x:c>
      <x:c r="F80" s="7" t="str">
        <x:v>synthetic</x:v>
      </x:c>
      <x:c r="G80" s="14" t="str">
        <x:v>synthetic_cases.py::SYN-RIS-REVIEW::setup_cash; fictional training assumption, not observed evidence</x:v>
      </x:c>
      <x:c r="H80" s="9" t="str"/>
    </x:row>
    <x:row r="81" ht="48" customHeight="1">
      <x:c r="A81" s="3" t="str">
        <x:v>SYN-IAM-SUMMARY</x:v>
      </x:c>
      <x:c r="B81" s="3" t="str">
        <x:v>currency one-time</x:v>
      </x:c>
      <x:c r="C81" s="17" t="n">
        <x:v>100</x:v>
      </x:c>
      <x:c r="D81" s="17" t="n">
        <x:v>150</x:v>
      </x:c>
      <x:c r="E81" s="17" t="n">
        <x:v>200</x:v>
      </x:c>
      <x:c r="F81" s="7" t="str">
        <x:v>synthetic</x:v>
      </x:c>
      <x:c r="G81" s="14" t="str">
        <x:v>synthetic_cases.py::SYN-IAM-SUMMARY::setup_cash; fictional training assumption, not observed evidence</x:v>
      </x:c>
      <x:c r="H81" s="9" t="str"/>
    </x:row>
    <x:row r="82" ht="48" customHeight="1">
      <x:c r="A82" s="3" t="str">
        <x:v>SYN-ESS-UNKNOWN</x:v>
      </x:c>
      <x:c r="B82" s="3" t="str">
        <x:v>currency one-time</x:v>
      </x:c>
      <x:c r="C82" s="17" t="n">
        <x:v>100</x:v>
      </x:c>
      <x:c r="D82" s="17" t="n">
        <x:v>150</x:v>
      </x:c>
      <x:c r="E82" s="17" t="n">
        <x:v>200</x:v>
      </x:c>
      <x:c r="F82" s="7" t="str">
        <x:v>synthetic</x:v>
      </x:c>
      <x:c r="G82" s="14" t="str">
        <x:v>synthetic_cases.py::SYN-ESS-UNKNOWN::setup_cash; fictional training assumption, not observed evidence</x:v>
      </x:c>
      <x:c r="H82" s="9" t="str"/>
    </x:row>
    <x:row r="83" ht="21" customHeight="1">
      <x:c r="A83" s="3"/>
      <x:c r="B83" s="3"/>
      <x:c r="C83" s="3"/>
      <x:c r="D83" s="3"/>
      <x:c r="E83" s="3"/>
      <x:c r="F83" s="3"/>
      <x:c r="G83" s="3"/>
      <x:c r="H83" s="3"/>
    </x:row>
    <x:row r="84" ht="21" customHeight="1">
      <x:c r="A84" s="13" t="str">
        <x:v>support_hours</x:v>
      </x:c>
      <x:c r="B84" s="13" t="str">
        <x:v>hours/month</x:v>
      </x:c>
      <x:c r="C84" s="16" t="n">
        <x:f>IF(AND(COUNT(CHOOSE($B$4,C85,C86,C87,C88),CHOOSE($B$4,D85,D86,D87,D88),CHOOSE($B$4,E85,E86,E87,E88))=3,CHOOSE($B$4,C85,C86,C87,C88)&gt;=0,CHOOSE($B$4,C85,C86,C87,C88)&lt;=CHOOSE($B$4,D85,D86,D87,D88),CHOOSE($B$4,D85,D86,D87,D88)&lt;=CHOOSE($B$4,E85,E86,E87,E88)),CHOOSE($B$4,C85,C86,C87,C88),"UNKNOWN")</x:f>
        <x:v>1</x:v>
      </x:c>
      <x:c r="D84" s="16" t="n">
        <x:f>IF(AND(COUNT(CHOOSE($B$4,C85,C86,C87,C88),CHOOSE($B$4,D85,D86,D87,D88),CHOOSE($B$4,E85,E86,E87,E88))=3,CHOOSE($B$4,C85,C86,C87,C88)&gt;=0,CHOOSE($B$4,C85,C86,C87,C88)&lt;=CHOOSE($B$4,D85,D86,D87,D88),CHOOSE($B$4,D85,D86,D87,D88)&lt;=CHOOSE($B$4,E85,E86,E87,E88)),CHOOSE($B$4,D85,D86,D87,D88),"UNKNOWN")</x:f>
        <x:v>1.5</x:v>
      </x:c>
      <x:c r="E84" s="16" t="n">
        <x:f>IF(AND(COUNT(CHOOSE($B$4,C85,C86,C87,C88),CHOOSE($B$4,D85,D86,D87,D88),CHOOSE($B$4,E85,E86,E87,E88))=3,CHOOSE($B$4,C85,C86,C87,C88)&gt;=0,CHOOSE($B$4,C85,C86,C87,C88)&lt;=CHOOSE($B$4,D85,D86,D87,D88),CHOOSE($B$4,D85,D86,D87,D88)&lt;=CHOOSE($B$4,E85,E86,E87,E88)),CHOOSE($B$4,E85,E86,E87,E88),"UNKNOWN")</x:f>
        <x:v>2</x:v>
      </x:c>
      <x:c r="F84" s="13"/>
      <x:c r="G84" s="13"/>
      <x:c r="H84" s="13"/>
    </x:row>
    <x:row r="85" ht="48" customHeight="1">
      <x:c r="A85" s="3" t="str">
        <x:v>SYN-ESS-DOCS</x:v>
      </x:c>
      <x:c r="B85" s="3" t="str">
        <x:v>hours/month</x:v>
      </x:c>
      <x:c r="C85" s="17" t="n">
        <x:v>1</x:v>
      </x:c>
      <x:c r="D85" s="17" t="n">
        <x:v>1.5</x:v>
      </x:c>
      <x:c r="E85" s="17" t="n">
        <x:v>2</x:v>
      </x:c>
      <x:c r="F85" s="7" t="str">
        <x:v>synthetic</x:v>
      </x:c>
      <x:c r="G85" s="14" t="str">
        <x:v>synthetic_cases.py::SYN-ESS-DOCS::support_hours; fictional training assumption, not observed evidence</x:v>
      </x:c>
      <x:c r="H85" s="9" t="str"/>
    </x:row>
    <x:row r="86" ht="48" customHeight="1">
      <x:c r="A86" s="3" t="str">
        <x:v>SYN-RIS-REVIEW</x:v>
      </x:c>
      <x:c r="B86" s="3" t="str">
        <x:v>hours/month</x:v>
      </x:c>
      <x:c r="C86" s="17" t="n">
        <x:v>4</x:v>
      </x:c>
      <x:c r="D86" s="17" t="n">
        <x:v>6</x:v>
      </x:c>
      <x:c r="E86" s="17" t="n">
        <x:v>8</x:v>
      </x:c>
      <x:c r="F86" s="7" t="str">
        <x:v>synthetic</x:v>
      </x:c>
      <x:c r="G86" s="14" t="str">
        <x:v>synthetic_cases.py::SYN-RIS-REVIEW::support_hours; fictional training assumption, not observed evidence</x:v>
      </x:c>
      <x:c r="H86" s="9" t="str"/>
    </x:row>
    <x:row r="87" ht="48" customHeight="1">
      <x:c r="A87" s="3" t="str">
        <x:v>SYN-IAM-SUMMARY</x:v>
      </x:c>
      <x:c r="B87" s="3" t="str">
        <x:v>hours/month</x:v>
      </x:c>
      <x:c r="C87" s="17" t="n">
        <x:v>2</x:v>
      </x:c>
      <x:c r="D87" s="17" t="n">
        <x:v>3</x:v>
      </x:c>
      <x:c r="E87" s="17" t="n">
        <x:v>4</x:v>
      </x:c>
      <x:c r="F87" s="7" t="str">
        <x:v>synthetic</x:v>
      </x:c>
      <x:c r="G87" s="14" t="str">
        <x:v>synthetic_cases.py::SYN-IAM-SUMMARY::support_hours; fictional training assumption, not observed evidence</x:v>
      </x:c>
      <x:c r="H87" s="9" t="str"/>
    </x:row>
    <x:row r="88" ht="48" customHeight="1">
      <x:c r="A88" s="3" t="str">
        <x:v>SYN-ESS-UNKNOWN</x:v>
      </x:c>
      <x:c r="B88" s="3" t="str">
        <x:v>hours/month</x:v>
      </x:c>
      <x:c r="C88" s="17" t="n">
        <x:v>1</x:v>
      </x:c>
      <x:c r="D88" s="17" t="n">
        <x:v>1.5</x:v>
      </x:c>
      <x:c r="E88" s="17" t="n">
        <x:v>2</x:v>
      </x:c>
      <x:c r="F88" s="7" t="str">
        <x:v>synthetic</x:v>
      </x:c>
      <x:c r="G88" s="14" t="str">
        <x:v>synthetic_cases.py::SYN-ESS-UNKNOWN::support_hours; fictional training assumption, not observed evidence</x:v>
      </x:c>
      <x:c r="H88" s="9" t="str"/>
    </x:row>
    <x:row r="89" ht="21" customHeight="1">
      <x:c r="A89" s="3"/>
      <x:c r="B89" s="3"/>
      <x:c r="C89" s="3"/>
      <x:c r="D89" s="3"/>
      <x:c r="E89" s="3"/>
      <x:c r="F89" s="3"/>
      <x:c r="G89" s="3"/>
      <x:c r="H89" s="3"/>
    </x:row>
    <x:row r="90" ht="21" customHeight="1">
      <x:c r="A90" s="13" t="str">
        <x:v>maintenance_hours</x:v>
      </x:c>
      <x:c r="B90" s="13" t="str">
        <x:v>hours/month</x:v>
      </x:c>
      <x:c r="C90" s="16" t="n">
        <x:f>IF(AND(COUNT(CHOOSE($B$4,C91,C92,C93,C94),CHOOSE($B$4,D91,D92,D93,D94),CHOOSE($B$4,E91,E92,E93,E94))=3,CHOOSE($B$4,C91,C92,C93,C94)&gt;=0,CHOOSE($B$4,C91,C92,C93,C94)&lt;=CHOOSE($B$4,D91,D92,D93,D94),CHOOSE($B$4,D91,D92,D93,D94)&lt;=CHOOSE($B$4,E91,E92,E93,E94)),CHOOSE($B$4,C91,C92,C93,C94),"UNKNOWN")</x:f>
        <x:v>1</x:v>
      </x:c>
      <x:c r="D90" s="16" t="n">
        <x:f>IF(AND(COUNT(CHOOSE($B$4,C91,C92,C93,C94),CHOOSE($B$4,D91,D92,D93,D94),CHOOSE($B$4,E91,E92,E93,E94))=3,CHOOSE($B$4,C91,C92,C93,C94)&gt;=0,CHOOSE($B$4,C91,C92,C93,C94)&lt;=CHOOSE($B$4,D91,D92,D93,D94),CHOOSE($B$4,D91,D92,D93,D94)&lt;=CHOOSE($B$4,E91,E92,E93,E94)),CHOOSE($B$4,D91,D92,D93,D94),"UNKNOWN")</x:f>
        <x:v>1.5</x:v>
      </x:c>
      <x:c r="E90" s="16" t="n">
        <x:f>IF(AND(COUNT(CHOOSE($B$4,C91,C92,C93,C94),CHOOSE($B$4,D91,D92,D93,D94),CHOOSE($B$4,E91,E92,E93,E94))=3,CHOOSE($B$4,C91,C92,C93,C94)&gt;=0,CHOOSE($B$4,C91,C92,C93,C94)&lt;=CHOOSE($B$4,D91,D92,D93,D94),CHOOSE($B$4,D91,D92,D93,D94)&lt;=CHOOSE($B$4,E91,E92,E93,E94)),CHOOSE($B$4,E91,E92,E93,E94),"UNKNOWN")</x:f>
        <x:v>2</x:v>
      </x:c>
      <x:c r="F90" s="13"/>
      <x:c r="G90" s="13"/>
      <x:c r="H90" s="13"/>
    </x:row>
    <x:row r="91" ht="48" customHeight="1">
      <x:c r="A91" s="3" t="str">
        <x:v>SYN-ESS-DOCS</x:v>
      </x:c>
      <x:c r="B91" s="3" t="str">
        <x:v>hours/month</x:v>
      </x:c>
      <x:c r="C91" s="17" t="n">
        <x:v>1</x:v>
      </x:c>
      <x:c r="D91" s="17" t="n">
        <x:v>1.5</x:v>
      </x:c>
      <x:c r="E91" s="17" t="n">
        <x:v>2</x:v>
      </x:c>
      <x:c r="F91" s="7" t="str">
        <x:v>synthetic</x:v>
      </x:c>
      <x:c r="G91" s="14" t="str">
        <x:v>synthetic_cases.py::SYN-ESS-DOCS::maintenance_hours; fictional training assumption, not observed evidence</x:v>
      </x:c>
      <x:c r="H91" s="9" t="str"/>
    </x:row>
    <x:row r="92" ht="48" customHeight="1">
      <x:c r="A92" s="3" t="str">
        <x:v>SYN-RIS-REVIEW</x:v>
      </x:c>
      <x:c r="B92" s="3" t="str">
        <x:v>hours/month</x:v>
      </x:c>
      <x:c r="C92" s="17" t="n">
        <x:v>3</x:v>
      </x:c>
      <x:c r="D92" s="17" t="n">
        <x:v>4</x:v>
      </x:c>
      <x:c r="E92" s="17" t="n">
        <x:v>6</x:v>
      </x:c>
      <x:c r="F92" s="7" t="str">
        <x:v>synthetic</x:v>
      </x:c>
      <x:c r="G92" s="14" t="str">
        <x:v>synthetic_cases.py::SYN-RIS-REVIEW::maintenance_hours; fictional training assumption, not observed evidence</x:v>
      </x:c>
      <x:c r="H92" s="9" t="str"/>
    </x:row>
    <x:row r="93" ht="48" customHeight="1">
      <x:c r="A93" s="3" t="str">
        <x:v>SYN-IAM-SUMMARY</x:v>
      </x:c>
      <x:c r="B93" s="3" t="str">
        <x:v>hours/month</x:v>
      </x:c>
      <x:c r="C93" s="17" t="n">
        <x:v>2</x:v>
      </x:c>
      <x:c r="D93" s="17" t="n">
        <x:v>3</x:v>
      </x:c>
      <x:c r="E93" s="17" t="n">
        <x:v>4</x:v>
      </x:c>
      <x:c r="F93" s="7" t="str">
        <x:v>synthetic</x:v>
      </x:c>
      <x:c r="G93" s="14" t="str">
        <x:v>synthetic_cases.py::SYN-IAM-SUMMARY::maintenance_hours; fictional training assumption, not observed evidence</x:v>
      </x:c>
      <x:c r="H93" s="9" t="str"/>
    </x:row>
    <x:row r="94" ht="48" customHeight="1">
      <x:c r="A94" s="3" t="str">
        <x:v>SYN-ESS-UNKNOWN</x:v>
      </x:c>
      <x:c r="B94" s="3" t="str">
        <x:v>hours/month</x:v>
      </x:c>
      <x:c r="C94" s="17" t="n">
        <x:v>1</x:v>
      </x:c>
      <x:c r="D94" s="17" t="n">
        <x:v>1.5</x:v>
      </x:c>
      <x:c r="E94" s="17" t="n">
        <x:v>2</x:v>
      </x:c>
      <x:c r="F94" s="7" t="str">
        <x:v>synthetic</x:v>
      </x:c>
      <x:c r="G94" s="14" t="str">
        <x:v>synthetic_cases.py::SYN-ESS-UNKNOWN::maintenance_hours; fictional training assumption, not observed evidence</x:v>
      </x:c>
      <x:c r="H94" s="9" t="str"/>
    </x:row>
    <x:row r="95" ht="21" customHeight="1">
      <x:c r="A95" s="3"/>
      <x:c r="B95" s="3"/>
      <x:c r="C95" s="3"/>
      <x:c r="D95" s="3"/>
      <x:c r="E95" s="3"/>
      <x:c r="F95" s="3"/>
      <x:c r="G95" s="3"/>
      <x:c r="H95" s="3"/>
    </x:row>
    <x:row r="96" ht="21" customHeight="1">
      <x:c r="A96" s="13" t="str">
        <x:v>platform_cash</x:v>
      </x:c>
      <x:c r="B96" s="13" t="str">
        <x:v>currency/month</x:v>
      </x:c>
      <x:c r="C96" s="16" t="n">
        <x:f>IF(AND(COUNT(CHOOSE($B$4,C97,C98,C99,C100),CHOOSE($B$4,D97,D98,D99,D100),CHOOSE($B$4,E97,E98,E99,E100))=3,CHOOSE($B$4,C97,C98,C99,C100)&gt;=0,CHOOSE($B$4,C97,C98,C99,C100)&lt;=CHOOSE($B$4,D97,D98,D99,D100),CHOOSE($B$4,D97,D98,D99,D100)&lt;=CHOOSE($B$4,E97,E98,E99,E100)),CHOOSE($B$4,C97,C98,C99,C100),"UNKNOWN")</x:f>
        <x:v>20</x:v>
      </x:c>
      <x:c r="D96" s="16" t="n">
        <x:f>IF(AND(COUNT(CHOOSE($B$4,C97,C98,C99,C100),CHOOSE($B$4,D97,D98,D99,D100),CHOOSE($B$4,E97,E98,E99,E100))=3,CHOOSE($B$4,C97,C98,C99,C100)&gt;=0,CHOOSE($B$4,C97,C98,C99,C100)&lt;=CHOOSE($B$4,D97,D98,D99,D100),CHOOSE($B$4,D97,D98,D99,D100)&lt;=CHOOSE($B$4,E97,E98,E99,E100)),CHOOSE($B$4,D97,D98,D99,D100),"UNKNOWN")</x:f>
        <x:v>35</x:v>
      </x:c>
      <x:c r="E96" s="16" t="n">
        <x:f>IF(AND(COUNT(CHOOSE($B$4,C97,C98,C99,C100),CHOOSE($B$4,D97,D98,D99,D100),CHOOSE($B$4,E97,E98,E99,E100))=3,CHOOSE($B$4,C97,C98,C99,C100)&gt;=0,CHOOSE($B$4,C97,C98,C99,C100)&lt;=CHOOSE($B$4,D97,D98,D99,D100),CHOOSE($B$4,D97,D98,D99,D100)&lt;=CHOOSE($B$4,E97,E98,E99,E100)),CHOOSE($B$4,E97,E98,E99,E100),"UNKNOWN")</x:f>
        <x:v>50</x:v>
      </x:c>
      <x:c r="F96" s="13"/>
      <x:c r="G96" s="13"/>
      <x:c r="H96" s="13"/>
    </x:row>
    <x:row r="97" ht="48" customHeight="1">
      <x:c r="A97" s="3" t="str">
        <x:v>SYN-ESS-DOCS</x:v>
      </x:c>
      <x:c r="B97" s="3" t="str">
        <x:v>currency/month</x:v>
      </x:c>
      <x:c r="C97" s="17" t="n">
        <x:v>20</x:v>
      </x:c>
      <x:c r="D97" s="17" t="n">
        <x:v>35</x:v>
      </x:c>
      <x:c r="E97" s="17" t="n">
        <x:v>50</x:v>
      </x:c>
      <x:c r="F97" s="7" t="str">
        <x:v>synthetic</x:v>
      </x:c>
      <x:c r="G97" s="14" t="str">
        <x:v>synthetic_cases.py::SYN-ESS-DOCS::platform_cash; fictional training assumption, not observed evidence</x:v>
      </x:c>
      <x:c r="H97" s="9" t="str"/>
    </x:row>
    <x:row r="98" ht="48" customHeight="1">
      <x:c r="A98" s="3" t="str">
        <x:v>SYN-RIS-REVIEW</x:v>
      </x:c>
      <x:c r="B98" s="3" t="str">
        <x:v>currency/month</x:v>
      </x:c>
      <x:c r="C98" s="17" t="n">
        <x:v>30</x:v>
      </x:c>
      <x:c r="D98" s="17" t="n">
        <x:v>60</x:v>
      </x:c>
      <x:c r="E98" s="17" t="n">
        <x:v>90</x:v>
      </x:c>
      <x:c r="F98" s="7" t="str">
        <x:v>synthetic</x:v>
      </x:c>
      <x:c r="G98" s="14" t="str">
        <x:v>synthetic_cases.py::SYN-RIS-REVIEW::platform_cash; fictional training assumption, not observed evidence</x:v>
      </x:c>
      <x:c r="H98" s="9" t="str"/>
    </x:row>
    <x:row r="99" ht="48" customHeight="1">
      <x:c r="A99" s="3" t="str">
        <x:v>SYN-IAM-SUMMARY</x:v>
      </x:c>
      <x:c r="B99" s="3" t="str">
        <x:v>currency/month</x:v>
      </x:c>
      <x:c r="C99" s="17" t="n">
        <x:v>30</x:v>
      </x:c>
      <x:c r="D99" s="17" t="n">
        <x:v>50</x:v>
      </x:c>
      <x:c r="E99" s="17" t="n">
        <x:v>70</x:v>
      </x:c>
      <x:c r="F99" s="7" t="str">
        <x:v>synthetic</x:v>
      </x:c>
      <x:c r="G99" s="14" t="str">
        <x:v>synthetic_cases.py::SYN-IAM-SUMMARY::platform_cash; fictional training assumption, not observed evidence</x:v>
      </x:c>
      <x:c r="H99" s="9" t="str"/>
    </x:row>
    <x:row r="100" ht="48" customHeight="1">
      <x:c r="A100" s="3" t="str">
        <x:v>SYN-ESS-UNKNOWN</x:v>
      </x:c>
      <x:c r="B100" s="3" t="str">
        <x:v>currency/month</x:v>
      </x:c>
      <x:c r="C100" s="17" t="n">
        <x:v>20</x:v>
      </x:c>
      <x:c r="D100" s="17" t="n">
        <x:v>35</x:v>
      </x:c>
      <x:c r="E100" s="17" t="n">
        <x:v>50</x:v>
      </x:c>
      <x:c r="F100" s="7" t="str">
        <x:v>synthetic</x:v>
      </x:c>
      <x:c r="G100" s="14" t="str">
        <x:v>synthetic_cases.py::SYN-ESS-UNKNOWN::platform_cash; fictional training assumption, not observed evidence</x:v>
      </x:c>
      <x:c r="H100" s="9" t="str"/>
    </x:row>
    <x:row r="101" ht="21" customHeight="1">
      <x:c r="A101" s="3"/>
      <x:c r="B101" s="3"/>
      <x:c r="C101" s="3"/>
      <x:c r="D101" s="3"/>
      <x:c r="E101" s="3"/>
      <x:c r="F101" s="3"/>
      <x:c r="G101" s="3"/>
      <x:c r="H101" s="3"/>
    </x:row>
    <x:row r="102" ht="21" customHeight="1">
      <x:c r="A102" s="13" t="str">
        <x:v>cash_conversion_fraction</x:v>
      </x:c>
      <x:c r="B102" s="13" t="str">
        <x:v>fraction</x:v>
      </x:c>
      <x:c r="C102" s="18" t="n">
        <x:f>IF(AND(COUNT(CHOOSE($B$4,C103,C104,C105,C106),CHOOSE($B$4,D103,D104,D105,D106),CHOOSE($B$4,E103,E104,E105,E106))=3,CHOOSE($B$4,C103,C104,C105,C106)&gt;=0,CHOOSE($B$4,C103,C104,C105,C106)&lt;=CHOOSE($B$4,D103,D104,D105,D106),CHOOSE($B$4,D103,D104,D105,D106)&lt;=CHOOSE($B$4,E103,E104,E105,E106),CHOOSE($B$4,E103,E104,E105,E106)&lt;=1),CHOOSE($B$4,C103,C104,C105,C106),"UNKNOWN")</x:f>
        <x:v>0</x:v>
      </x:c>
      <x:c r="D102" s="18" t="n">
        <x:f>IF(AND(COUNT(CHOOSE($B$4,C103,C104,C105,C106),CHOOSE($B$4,D103,D104,D105,D106),CHOOSE($B$4,E103,E104,E105,E106))=3,CHOOSE($B$4,C103,C104,C105,C106)&gt;=0,CHOOSE($B$4,C103,C104,C105,C106)&lt;=CHOOSE($B$4,D103,D104,D105,D106),CHOOSE($B$4,D103,D104,D105,D106)&lt;=CHOOSE($B$4,E103,E104,E105,E106),CHOOSE($B$4,E103,E104,E105,E106)&lt;=1),CHOOSE($B$4,D103,D104,D105,D106),"UNKNOWN")</x:f>
        <x:v>0</x:v>
      </x:c>
      <x:c r="E102" s="18" t="n">
        <x:f>IF(AND(COUNT(CHOOSE($B$4,C103,C104,C105,C106),CHOOSE($B$4,D103,D104,D105,D106),CHOOSE($B$4,E103,E104,E105,E106))=3,CHOOSE($B$4,C103,C104,C105,C106)&gt;=0,CHOOSE($B$4,C103,C104,C105,C106)&lt;=CHOOSE($B$4,D103,D104,D105,D106),CHOOSE($B$4,D103,D104,D105,D106)&lt;=CHOOSE($B$4,E103,E104,E105,E106),CHOOSE($B$4,E103,E104,E105,E106)&lt;=1),CHOOSE($B$4,E103,E104,E105,E106),"UNKNOWN")</x:f>
        <x:v>0</x:v>
      </x:c>
      <x:c r="F102" s="13"/>
      <x:c r="G102" s="13"/>
      <x:c r="H102" s="13"/>
    </x:row>
    <x:row r="103" ht="48" customHeight="1">
      <x:c r="A103" s="3" t="str">
        <x:v>SYN-ESS-DOCS</x:v>
      </x:c>
      <x:c r="B103" s="3" t="str">
        <x:v>fraction</x:v>
      </x:c>
      <x:c r="C103" s="19" t="n">
        <x:v>0</x:v>
      </x:c>
      <x:c r="D103" s="19" t="n">
        <x:v>0</x:v>
      </x:c>
      <x:c r="E103" s="19" t="n">
        <x:v>0</x:v>
      </x:c>
      <x:c r="F103" s="7" t="str">
        <x:v>synthetic</x:v>
      </x:c>
      <x:c r="G103" s="14" t="str">
        <x:v>synthetic_cases.py::SYN-ESS-DOCS::cash_conversion_fraction; fictional training assumption, not observed evidence</x:v>
      </x:c>
      <x:c r="H103" s="9" t="str"/>
    </x:row>
    <x:row r="104" ht="48" customHeight="1">
      <x:c r="A104" s="3" t="str">
        <x:v>SYN-RIS-REVIEW</x:v>
      </x:c>
      <x:c r="B104" s="3" t="str">
        <x:v>fraction</x:v>
      </x:c>
      <x:c r="C104" s="19" t="n">
        <x:v>0</x:v>
      </x:c>
      <x:c r="D104" s="19" t="n">
        <x:v>0</x:v>
      </x:c>
      <x:c r="E104" s="19" t="n">
        <x:v>0</x:v>
      </x:c>
      <x:c r="F104" s="7" t="str">
        <x:v>synthetic</x:v>
      </x:c>
      <x:c r="G104" s="14" t="str">
        <x:v>synthetic_cases.py::SYN-RIS-REVIEW::cash_conversion_fraction; fictional training assumption, not observed evidence</x:v>
      </x:c>
      <x:c r="H104" s="9" t="str"/>
    </x:row>
    <x:row r="105" ht="48" customHeight="1">
      <x:c r="A105" s="3" t="str">
        <x:v>SYN-IAM-SUMMARY</x:v>
      </x:c>
      <x:c r="B105" s="3" t="str">
        <x:v>fraction</x:v>
      </x:c>
      <x:c r="C105" s="19" t="n">
        <x:v>0</x:v>
      </x:c>
      <x:c r="D105" s="19" t="n">
        <x:v>0.1</x:v>
      </x:c>
      <x:c r="E105" s="19" t="n">
        <x:v>0.2</x:v>
      </x:c>
      <x:c r="F105" s="7" t="str">
        <x:v>synthetic</x:v>
      </x:c>
      <x:c r="G105" s="14" t="str">
        <x:v>synthetic_cases.py::SYN-IAM-SUMMARY::cash_conversion_fraction; fictional training assumption, not observed evidence</x:v>
      </x:c>
      <x:c r="H105" s="9" t="str"/>
    </x:row>
    <x:row r="106" ht="48" customHeight="1">
      <x:c r="A106" s="3" t="str">
        <x:v>SYN-ESS-UNKNOWN</x:v>
      </x:c>
      <x:c r="B106" s="3" t="str">
        <x:v>fraction</x:v>
      </x:c>
      <x:c r="C106" s="19" t="n">
        <x:v>0</x:v>
      </x:c>
      <x:c r="D106" s="19" t="n">
        <x:v>0</x:v>
      </x:c>
      <x:c r="E106" s="19" t="n">
        <x:v>0</x:v>
      </x:c>
      <x:c r="F106" s="7" t="str">
        <x:v>synthetic</x:v>
      </x:c>
      <x:c r="G106" s="14" t="str">
        <x:v>synthetic_cases.py::SYN-ESS-UNKNOWN::cash_conversion_fraction; fictional training assumption, not observed evidence</x:v>
      </x:c>
      <x:c r="H106" s="9" t="str"/>
    </x:row>
    <x:row r="107" ht="21" customHeight="1">
      <x:c r="A107" s="3"/>
      <x:c r="B107" s="3"/>
      <x:c r="C107" s="3"/>
      <x:c r="D107" s="3"/>
      <x:c r="E107" s="3"/>
      <x:c r="F107" s="3"/>
      <x:c r="G107" s="3"/>
      <x:c r="H107" s="3"/>
    </x:row>
    <x:row r="108" ht="21" customHeight="1">
      <x:c r="A108" s="3"/>
      <x:c r="B108" s="3"/>
      <x:c r="C108" s="3"/>
      <x:c r="D108" s="3"/>
      <x:c r="E108" s="3"/>
      <x:c r="F108" s="3"/>
      <x:c r="G108" s="3"/>
      <x:c r="H108" s="3"/>
    </x:row>
    <x:row r="109" ht="21" customHeight="1">
      <x:c r="A109" s="3"/>
      <x:c r="B109" s="3"/>
      <x:c r="C109" s="3"/>
      <x:c r="D109" s="3"/>
      <x:c r="E109" s="3"/>
      <x:c r="F109" s="3"/>
      <x:c r="G109" s="3"/>
      <x:c r="H109" s="3"/>
    </x:row>
    <x:row r="110" ht="21" customHeight="1">
      <x:c r="A110" s="3"/>
      <x:c r="B110" s="3"/>
      <x:c r="C110" s="3"/>
      <x:c r="D110" s="3"/>
      <x:c r="E110" s="3"/>
      <x:c r="F110" s="3"/>
      <x:c r="G110" s="3"/>
      <x:c r="H110" s="3"/>
    </x:row>
    <x:row r="111" ht="21" customHeight="1">
      <x:c r="A111" s="3"/>
      <x:c r="B111" s="3"/>
      <x:c r="C111" s="3"/>
      <x:c r="D111" s="3"/>
      <x:c r="E111" s="3"/>
      <x:c r="F111" s="3"/>
      <x:c r="G111" s="3"/>
      <x:c r="H111" s="3"/>
    </x:row>
    <x:row r="112" ht="21" customHeight="1">
      <x:c r="A112" s="3"/>
      <x:c r="B112" s="3"/>
      <x:c r="C112" s="3"/>
      <x:c r="D112" s="3"/>
      <x:c r="E112" s="3"/>
      <x:c r="F112" s="3"/>
      <x:c r="G112" s="3"/>
      <x:c r="H112" s="3"/>
    </x:row>
  </x:sheetData>
  <x:dataValidations count="18">
    <x:dataValidation type="list" sqref="B4">
      <x:formula1>"1,2,3,4"</x:formula1>
    </x:dataValidation>
    <x:dataValidation type="list" sqref="B7">
      <x:formula1>"SYNTHETIC,PLANNING_ASSUMPTIONS,MEASURED_INPUTS"</x:formula1>
    </x:dataValidation>
    <x:dataValidation type="list" sqref="F13:F16">
      <x:formula1>"synthetic,assumed,observed,unknown"</x:formula1>
    </x:dataValidation>
    <x:dataValidation type="list" sqref="F19:F22">
      <x:formula1>"synthetic,assumed,observed,unknown"</x:formula1>
    </x:dataValidation>
    <x:dataValidation type="list" sqref="F25:F28">
      <x:formula1>"synthetic,assumed,observed,unknown"</x:formula1>
    </x:dataValidation>
    <x:dataValidation type="list" sqref="F31:F34">
      <x:formula1>"synthetic,assumed,observed,unknown"</x:formula1>
    </x:dataValidation>
    <x:dataValidation type="list" sqref="F37:F40">
      <x:formula1>"synthetic,assumed,observed,unknown"</x:formula1>
    </x:dataValidation>
    <x:dataValidation type="list" sqref="F43:F46">
      <x:formula1>"synthetic,assumed,observed,unknown"</x:formula1>
    </x:dataValidation>
    <x:dataValidation type="list" sqref="F49:F52">
      <x:formula1>"synthetic,assumed,observed,unknown"</x:formula1>
    </x:dataValidation>
    <x:dataValidation type="list" sqref="F55:F58">
      <x:formula1>"synthetic,assumed,observed,unknown"</x:formula1>
    </x:dataValidation>
    <x:dataValidation type="list" sqref="F61:F64">
      <x:formula1>"synthetic,assumed,observed,unknown"</x:formula1>
    </x:dataValidation>
    <x:dataValidation type="list" sqref="F67:F70">
      <x:formula1>"synthetic,assumed,observed,unknown"</x:formula1>
    </x:dataValidation>
    <x:dataValidation type="list" sqref="F73:F76">
      <x:formula1>"synthetic,assumed,observed,unknown"</x:formula1>
    </x:dataValidation>
    <x:dataValidation type="list" sqref="F79:F82">
      <x:formula1>"synthetic,assumed,observed,unknown"</x:formula1>
    </x:dataValidation>
    <x:dataValidation type="list" sqref="F85:F88">
      <x:formula1>"synthetic,assumed,observed,unknown"</x:formula1>
    </x:dataValidation>
    <x:dataValidation type="list" sqref="F91:F94">
      <x:formula1>"synthetic,assumed,observed,unknown"</x:formula1>
    </x:dataValidation>
    <x:dataValidation type="list" sqref="F97:F100">
      <x:formula1>"synthetic,assumed,observed,unknown"</x:formula1>
    </x:dataValidation>
    <x:dataValidation type="list" sqref="F103:F106">
      <x:formula1>"synthetic,assumed,observed,unknown"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25" hidden="0" customWidth="1"/>
    <x:col min="4" max="4" width="25" hidden="0" customWidth="1"/>
    <x:col min="5" max="5" width="18" hidden="0" customWidth="1"/>
  </x:cols>
  <x:sheetData>
    <x:row r="1" ht="21" customHeight="1">
      <x:c r="A1" s="6" t="str">
        <x:v>One-input sensitivity</x:v>
      </x:c>
      <x:c r="B1" s="5"/>
      <x:c r="C1" s="5"/>
      <x:c r="D1" s="5"/>
      <x:c r="E1" s="5"/>
    </x:row>
    <x:row r="2" ht="21" customHeight="1">
      <x:c r="A2" s="5"/>
      <x:c r="B2" s="5"/>
      <x:c r="C2" s="5"/>
      <x:c r="D2" s="5"/>
      <x:c r="E2" s="5"/>
    </x:row>
    <x:row r="3" ht="21" customHeight="1">
      <x:c r="A3" s="3" t="str">
        <x:v>Case selected</x:v>
      </x:c>
      <x:c r="B3" s="3" t="str">
        <x:f>'Economics'!B4</x:f>
        <x:v>SYN-ESS-DOCS</x:v>
      </x:c>
      <x:c r="C3" s="3"/>
      <x:c r="D3" s="3"/>
      <x:c r="E3" s="3"/>
    </x:row>
    <x:row r="4" ht="21" customHeight="1">
      <x:c r="A4" s="3" t="str">
        <x:v>All other inputs stay at base. Values use the selected case and the current horizon.</x:v>
      </x:c>
      <x:c r="B4" s="3"/>
      <x:c r="C4" s="3"/>
      <x:c r="D4" s="3"/>
      <x:c r="E4" s="3"/>
    </x:row>
    <x:row r="5" ht="30" customHeight="1">
      <x:c r="A5" s="11" t="str">
        <x:v>Input</x:v>
      </x:c>
      <x:c r="B5" s="11" t="str">
        <x:v>Endpoint</x:v>
      </x:c>
      <x:c r="C5" s="11" t="str">
        <x:v>Economic net</x:v>
      </x:c>
      <x:c r="D5" s="11" t="str">
        <x:v>Cash conversion net</x:v>
      </x:c>
      <x:c r="E5" s="3"/>
    </x:row>
    <x:row r="6" ht="21" customHeight="1">
      <x:c r="A6" s="3" t="str">
        <x:v>monthly_tasks</x:v>
      </x:c>
      <x:c r="B6" s="3" t="str">
        <x:v>Low</x:v>
      </x:c>
      <x:c r="C6" s="22" t="n">
        <x:f>IF(AND(COUNT('Inputs'!C12,'Inputs'!D18,'Inputs'!D24,'Inputs'!D30,'Inputs'!D36,'Inputs'!D42,'Inputs'!D48,'Inputs'!D54,'Inputs'!D60,'Inputs'!D66,'Inputs'!D72,'Inputs'!D78,'Inputs'!D84,'Inputs'!D90,'Inputs'!D96)=15,ISNUMBER('Inputs'!$B$5),'Inputs'!$B$5&gt;0,INT('Inputs'!$B$5)='Inputs'!$B$5),('Inputs'!$B$5*('Inputs'!C12*'Inputs'!D18*('Inputs'!D24-'Inputs'!D30-'Inputs'!D36-'Inputs'!D42*'Inputs'!D48)/60-'Inputs'!D84-'Inputs'!D90)-'Inputs'!D72)*'Inputs'!D66-('Inputs'!$B$5*('Inputs'!C12*'Inputs'!D18*'Inputs'!D54*'Inputs'!D60+'Inputs'!D96)+'Inputs'!D78),"UNKNOWN")</x:f>
        <x:v>67254</x:v>
      </x:c>
      <x:c r="D6" s="22" t="n">
        <x:f>IF(AND(COUNT('Inputs'!C12,'Inputs'!D18,'Inputs'!D24,'Inputs'!D30,'Inputs'!D36,'Inputs'!D42,'Inputs'!D48,'Inputs'!D54,'Inputs'!D60,'Inputs'!D66,'Inputs'!D72,'Inputs'!D78,'Inputs'!D84,'Inputs'!D90,'Inputs'!D96,'Inputs'!D102)=16,ISNUMBER('Inputs'!$B$5),'Inputs'!$B$5&gt;0,INT('Inputs'!$B$5)='Inputs'!$B$5),('Inputs'!$B$5*('Inputs'!C12*'Inputs'!D18*('Inputs'!D24-'Inputs'!D30-'Inputs'!D36-'Inputs'!D42*'Inputs'!D48)/60-'Inputs'!D84-'Inputs'!D90)-'Inputs'!D72)*'Inputs'!D66*'Inputs'!D102-('Inputs'!$B$5*('Inputs'!C12*'Inputs'!D18*'Inputs'!D54*'Inputs'!D60+'Inputs'!D96)+'Inputs'!D78),"UNKNOWN")</x:f>
        <x:v>-786</x:v>
      </x:c>
      <x:c r="E6" s="3"/>
    </x:row>
    <x:row r="7" ht="21" customHeight="1">
      <x:c r="A7" s="3" t="str">
        <x:v>monthly_tasks</x:v>
      </x:c>
      <x:c r="B7" s="3" t="str">
        <x:v>High</x:v>
      </x:c>
      <x:c r="C7" s="22" t="n">
        <x:f>IF(AND(COUNT('Inputs'!E12,'Inputs'!D18,'Inputs'!D24,'Inputs'!D30,'Inputs'!D36,'Inputs'!D42,'Inputs'!D48,'Inputs'!D54,'Inputs'!D60,'Inputs'!D66,'Inputs'!D72,'Inputs'!D78,'Inputs'!D84,'Inputs'!D90,'Inputs'!D96)=15,ISNUMBER('Inputs'!$B$5),'Inputs'!$B$5&gt;0,INT('Inputs'!$B$5)='Inputs'!$B$5),('Inputs'!$B$5*('Inputs'!E12*'Inputs'!D18*('Inputs'!D24-'Inputs'!D30-'Inputs'!D36-'Inputs'!D42*'Inputs'!D48)/60-'Inputs'!D84-'Inputs'!D90)-'Inputs'!D72)*'Inputs'!D66-('Inputs'!$B$5*('Inputs'!E12*'Inputs'!D18*'Inputs'!D54*'Inputs'!D60+'Inputs'!D96)+'Inputs'!D78),"UNKNOWN")</x:f>
        <x:v>114630</x:v>
      </x:c>
      <x:c r="D7" s="22" t="n">
        <x:f>IF(AND(COUNT('Inputs'!E12,'Inputs'!D18,'Inputs'!D24,'Inputs'!D30,'Inputs'!D36,'Inputs'!D42,'Inputs'!D48,'Inputs'!D54,'Inputs'!D60,'Inputs'!D66,'Inputs'!D72,'Inputs'!D78,'Inputs'!D84,'Inputs'!D90,'Inputs'!D96,'Inputs'!D102)=16,ISNUMBER('Inputs'!$B$5),'Inputs'!$B$5&gt;0,INT('Inputs'!$B$5)='Inputs'!$B$5),('Inputs'!$B$5*('Inputs'!E12*'Inputs'!D18*('Inputs'!D24-'Inputs'!D30-'Inputs'!D36-'Inputs'!D42*'Inputs'!D48)/60-'Inputs'!D84-'Inputs'!D90)-'Inputs'!D72)*'Inputs'!D66*'Inputs'!D102-('Inputs'!$B$5*('Inputs'!E12*'Inputs'!D18*'Inputs'!D54*'Inputs'!D60+'Inputs'!D96)+'Inputs'!D78),"UNKNOWN")</x:f>
        <x:v>-930</x:v>
      </x:c>
      <x:c r="E7" s="3"/>
    </x:row>
    <x:row r="8" ht="21" customHeight="1">
      <x:c r="A8" s="3" t="str">
        <x:v>adoption_fraction</x:v>
      </x:c>
      <x:c r="B8" s="3" t="str">
        <x:v>Low</x:v>
      </x:c>
      <x:c r="C8" s="22" t="n">
        <x:f>IF(AND(COUNT('Inputs'!D12,'Inputs'!C18,'Inputs'!D24,'Inputs'!D30,'Inputs'!D36,'Inputs'!D42,'Inputs'!D48,'Inputs'!D54,'Inputs'!D60,'Inputs'!D66,'Inputs'!D72,'Inputs'!D78,'Inputs'!D84,'Inputs'!D90,'Inputs'!D96)=15,ISNUMBER('Inputs'!$B$5),'Inputs'!$B$5&gt;0,INT('Inputs'!$B$5)='Inputs'!$B$5),('Inputs'!$B$5*('Inputs'!D12*'Inputs'!C18*('Inputs'!D24-'Inputs'!D30-'Inputs'!D36-'Inputs'!D42*'Inputs'!D48)/60-'Inputs'!D84-'Inputs'!D90)-'Inputs'!D72)*'Inputs'!D66-('Inputs'!$B$5*('Inputs'!D12*'Inputs'!C18*'Inputs'!D54*'Inputs'!D60+'Inputs'!D96)+'Inputs'!D78),"UNKNOWN")</x:f>
        <x:v>79098</x:v>
      </x:c>
      <x:c r="D8" s="22" t="n">
        <x:f>IF(AND(COUNT('Inputs'!D12,'Inputs'!C18,'Inputs'!D24,'Inputs'!D30,'Inputs'!D36,'Inputs'!D42,'Inputs'!D48,'Inputs'!D54,'Inputs'!D60,'Inputs'!D66,'Inputs'!D72,'Inputs'!D78,'Inputs'!D84,'Inputs'!D90,'Inputs'!D96,'Inputs'!D102)=16,ISNUMBER('Inputs'!$B$5),'Inputs'!$B$5&gt;0,INT('Inputs'!$B$5)='Inputs'!$B$5),('Inputs'!$B$5*('Inputs'!D12*'Inputs'!C18*('Inputs'!D24-'Inputs'!D30-'Inputs'!D36-'Inputs'!D42*'Inputs'!D48)/60-'Inputs'!D84-'Inputs'!D90)-'Inputs'!D72)*'Inputs'!D66*'Inputs'!D102-('Inputs'!$B$5*('Inputs'!D12*'Inputs'!C18*'Inputs'!D54*'Inputs'!D60+'Inputs'!D96)+'Inputs'!D78),"UNKNOWN")</x:f>
        <x:v>-822</x:v>
      </x:c>
      <x:c r="E8" s="3"/>
    </x:row>
    <x:row r="9" ht="21" customHeight="1">
      <x:c r="A9" s="3" t="str">
        <x:v>adoption_fraction</x:v>
      </x:c>
      <x:c r="B9" s="3" t="str">
        <x:v>High</x:v>
      </x:c>
      <x:c r="C9" s="22" t="n">
        <x:f>IF(AND(COUNT('Inputs'!D12,'Inputs'!E18,'Inputs'!D24,'Inputs'!D30,'Inputs'!D36,'Inputs'!D42,'Inputs'!D48,'Inputs'!D54,'Inputs'!D60,'Inputs'!D66,'Inputs'!D72,'Inputs'!D78,'Inputs'!D84,'Inputs'!D90,'Inputs'!D96)=15,ISNUMBER('Inputs'!$B$5),'Inputs'!$B$5&gt;0,INT('Inputs'!$B$5)='Inputs'!$B$5),('Inputs'!$B$5*('Inputs'!D12*'Inputs'!E18*('Inputs'!D24-'Inputs'!D30-'Inputs'!D36-'Inputs'!D42*'Inputs'!D48)/60-'Inputs'!D84-'Inputs'!D90)-'Inputs'!D72)*'Inputs'!D66-('Inputs'!$B$5*('Inputs'!D12*'Inputs'!E18*'Inputs'!D54*'Inputs'!D60+'Inputs'!D96)+'Inputs'!D78),"UNKNOWN")</x:f>
        <x:v>102786</x:v>
      </x:c>
      <x:c r="D9" s="22" t="n">
        <x:f>IF(AND(COUNT('Inputs'!D12,'Inputs'!E18,'Inputs'!D24,'Inputs'!D30,'Inputs'!D36,'Inputs'!D42,'Inputs'!D48,'Inputs'!D54,'Inputs'!D60,'Inputs'!D66,'Inputs'!D72,'Inputs'!D78,'Inputs'!D84,'Inputs'!D90,'Inputs'!D96,'Inputs'!D102)=16,ISNUMBER('Inputs'!$B$5),'Inputs'!$B$5&gt;0,INT('Inputs'!$B$5)='Inputs'!$B$5),('Inputs'!$B$5*('Inputs'!D12*'Inputs'!E18*('Inputs'!D24-'Inputs'!D30-'Inputs'!D36-'Inputs'!D42*'Inputs'!D48)/60-'Inputs'!D84-'Inputs'!D90)-'Inputs'!D72)*'Inputs'!D66*'Inputs'!D102-('Inputs'!$B$5*('Inputs'!D12*'Inputs'!E18*'Inputs'!D54*'Inputs'!D60+'Inputs'!D96)+'Inputs'!D78),"UNKNOWN")</x:f>
        <x:v>-894</x:v>
      </x:c>
      <x:c r="E9" s="3"/>
    </x:row>
    <x:row r="10" ht="21" customHeight="1">
      <x:c r="A10" s="3" t="str">
        <x:v>baseline_minutes</x:v>
      </x:c>
      <x:c r="B10" s="3" t="str">
        <x:v>Low</x:v>
      </x:c>
      <x:c r="C10" s="22" t="n">
        <x:f>IF(AND(COUNT('Inputs'!D12,'Inputs'!D18,'Inputs'!C24,'Inputs'!D30,'Inputs'!D36,'Inputs'!D42,'Inputs'!D48,'Inputs'!D54,'Inputs'!D60,'Inputs'!D66,'Inputs'!D72,'Inputs'!D78,'Inputs'!D84,'Inputs'!D90,'Inputs'!D96)=15,ISNUMBER('Inputs'!$B$5),'Inputs'!$B$5&gt;0,INT('Inputs'!$B$5)='Inputs'!$B$5),('Inputs'!$B$5*('Inputs'!D12*'Inputs'!D18*('Inputs'!C24-'Inputs'!D30-'Inputs'!D36-'Inputs'!D42*'Inputs'!D48)/60-'Inputs'!D84-'Inputs'!D90)-'Inputs'!D72)*'Inputs'!D66-('Inputs'!$B$5*('Inputs'!D12*'Inputs'!D18*'Inputs'!D54*'Inputs'!D60+'Inputs'!D96)+'Inputs'!D78),"UNKNOWN")</x:f>
        <x:v>52542</x:v>
      </x:c>
      <x:c r="D10" s="22" t="n">
        <x:f>IF(AND(COUNT('Inputs'!D12,'Inputs'!D18,'Inputs'!C24,'Inputs'!D30,'Inputs'!D36,'Inputs'!D42,'Inputs'!D48,'Inputs'!D54,'Inputs'!D60,'Inputs'!D66,'Inputs'!D72,'Inputs'!D78,'Inputs'!D84,'Inputs'!D90,'Inputs'!D96,'Inputs'!D102)=16,ISNUMBER('Inputs'!$B$5),'Inputs'!$B$5&gt;0,INT('Inputs'!$B$5)='Inputs'!$B$5),('Inputs'!$B$5*('Inputs'!D12*'Inputs'!D18*('Inputs'!C24-'Inputs'!D30-'Inputs'!D36-'Inputs'!D42*'Inputs'!D48)/60-'Inputs'!D84-'Inputs'!D90)-'Inputs'!D72)*'Inputs'!D66*'Inputs'!D102-('Inputs'!$B$5*('Inputs'!D12*'Inputs'!D18*'Inputs'!D54*'Inputs'!D60+'Inputs'!D96)+'Inputs'!D78),"UNKNOWN")</x:f>
        <x:v>-858</x:v>
      </x:c>
      <x:c r="E10" s="3"/>
    </x:row>
    <x:row r="11" ht="21" customHeight="1">
      <x:c r="A11" s="3" t="str">
        <x:v>baseline_minutes</x:v>
      </x:c>
      <x:c r="B11" s="3" t="str">
        <x:v>High</x:v>
      </x:c>
      <x:c r="C11" s="22" t="n">
        <x:f>IF(AND(COUNT('Inputs'!D12,'Inputs'!D18,'Inputs'!E24,'Inputs'!D30,'Inputs'!D36,'Inputs'!D42,'Inputs'!D48,'Inputs'!D54,'Inputs'!D60,'Inputs'!D66,'Inputs'!D72,'Inputs'!D78,'Inputs'!D84,'Inputs'!D90,'Inputs'!D96)=15,ISNUMBER('Inputs'!$B$5),'Inputs'!$B$5&gt;0,INT('Inputs'!$B$5)='Inputs'!$B$5),('Inputs'!$B$5*('Inputs'!D12*'Inputs'!D18*('Inputs'!E24-'Inputs'!D30-'Inputs'!D36-'Inputs'!D42*'Inputs'!D48)/60-'Inputs'!D84-'Inputs'!D90)-'Inputs'!D72)*'Inputs'!D66-('Inputs'!$B$5*('Inputs'!D12*'Inputs'!D18*'Inputs'!D54*'Inputs'!D60+'Inputs'!D96)+'Inputs'!D78),"UNKNOWN")</x:f>
        <x:v>129342</x:v>
      </x:c>
      <x:c r="D11" s="22" t="n">
        <x:f>IF(AND(COUNT('Inputs'!D12,'Inputs'!D18,'Inputs'!E24,'Inputs'!D30,'Inputs'!D36,'Inputs'!D42,'Inputs'!D48,'Inputs'!D54,'Inputs'!D60,'Inputs'!D66,'Inputs'!D72,'Inputs'!D78,'Inputs'!D84,'Inputs'!D90,'Inputs'!D96,'Inputs'!D102)=16,ISNUMBER('Inputs'!$B$5),'Inputs'!$B$5&gt;0,INT('Inputs'!$B$5)='Inputs'!$B$5),('Inputs'!$B$5*('Inputs'!D12*'Inputs'!D18*('Inputs'!E24-'Inputs'!D30-'Inputs'!D36-'Inputs'!D42*'Inputs'!D48)/60-'Inputs'!D84-'Inputs'!D90)-'Inputs'!D72)*'Inputs'!D66*'Inputs'!D102-('Inputs'!$B$5*('Inputs'!D12*'Inputs'!D18*'Inputs'!D54*'Inputs'!D60+'Inputs'!D96)+'Inputs'!D78),"UNKNOWN")</x:f>
        <x:v>-858</x:v>
      </x:c>
      <x:c r="E11" s="3"/>
    </x:row>
    <x:row r="12" ht="21" customHeight="1">
      <x:c r="A12" s="3" t="str">
        <x:v>author_minutes</x:v>
      </x:c>
      <x:c r="B12" s="3" t="str">
        <x:v>Low</x:v>
      </x:c>
      <x:c r="C12" s="22" t="n">
        <x:f>IF(AND(COUNT('Inputs'!D12,'Inputs'!D18,'Inputs'!D24,'Inputs'!C30,'Inputs'!D36,'Inputs'!D42,'Inputs'!D48,'Inputs'!D54,'Inputs'!D60,'Inputs'!D66,'Inputs'!D72,'Inputs'!D78,'Inputs'!D84,'Inputs'!D90,'Inputs'!D96)=15,ISNUMBER('Inputs'!$B$5),'Inputs'!$B$5&gt;0,INT('Inputs'!$B$5)='Inputs'!$B$5),('Inputs'!$B$5*('Inputs'!D12*'Inputs'!D18*('Inputs'!D24-'Inputs'!C30-'Inputs'!D36-'Inputs'!D42*'Inputs'!D48)/60-'Inputs'!D84-'Inputs'!D90)-'Inputs'!D72)*'Inputs'!D66-('Inputs'!$B$5*('Inputs'!D12*'Inputs'!D18*'Inputs'!D54*'Inputs'!D60+'Inputs'!D96)+'Inputs'!D78),"UNKNOWN")</x:f>
        <x:v>94782</x:v>
      </x:c>
      <x:c r="D12" s="22" t="n">
        <x:f>IF(AND(COUNT('Inputs'!D12,'Inputs'!D18,'Inputs'!D24,'Inputs'!C30,'Inputs'!D36,'Inputs'!D42,'Inputs'!D48,'Inputs'!D54,'Inputs'!D60,'Inputs'!D66,'Inputs'!D72,'Inputs'!D78,'Inputs'!D84,'Inputs'!D90,'Inputs'!D96,'Inputs'!D102)=16,ISNUMBER('Inputs'!$B$5),'Inputs'!$B$5&gt;0,INT('Inputs'!$B$5)='Inputs'!$B$5),('Inputs'!$B$5*('Inputs'!D12*'Inputs'!D18*('Inputs'!D24-'Inputs'!C30-'Inputs'!D36-'Inputs'!D42*'Inputs'!D48)/60-'Inputs'!D84-'Inputs'!D90)-'Inputs'!D72)*'Inputs'!D66*'Inputs'!D102-('Inputs'!$B$5*('Inputs'!D12*'Inputs'!D18*'Inputs'!D54*'Inputs'!D60+'Inputs'!D96)+'Inputs'!D78),"UNKNOWN")</x:f>
        <x:v>-858</x:v>
      </x:c>
      <x:c r="E12" s="3"/>
    </x:row>
    <x:row r="13" ht="21" customHeight="1">
      <x:c r="A13" s="3" t="str">
        <x:v>author_minutes</x:v>
      </x:c>
      <x:c r="B13" s="3" t="str">
        <x:v>High</x:v>
      </x:c>
      <x:c r="C13" s="22" t="n">
        <x:f>IF(AND(COUNT('Inputs'!D12,'Inputs'!D18,'Inputs'!D24,'Inputs'!E30,'Inputs'!D36,'Inputs'!D42,'Inputs'!D48,'Inputs'!D54,'Inputs'!D60,'Inputs'!D66,'Inputs'!D72,'Inputs'!D78,'Inputs'!D84,'Inputs'!D90,'Inputs'!D96)=15,ISNUMBER('Inputs'!$B$5),'Inputs'!$B$5&gt;0,INT('Inputs'!$B$5)='Inputs'!$B$5),('Inputs'!$B$5*('Inputs'!D12*'Inputs'!D18*('Inputs'!D24-'Inputs'!E30-'Inputs'!D36-'Inputs'!D42*'Inputs'!D48)/60-'Inputs'!D84-'Inputs'!D90)-'Inputs'!D72)*'Inputs'!D66-('Inputs'!$B$5*('Inputs'!D12*'Inputs'!D18*'Inputs'!D54*'Inputs'!D60+'Inputs'!D96)+'Inputs'!D78),"UNKNOWN")</x:f>
        <x:v>83262</x:v>
      </x:c>
      <x:c r="D13" s="22" t="n">
        <x:f>IF(AND(COUNT('Inputs'!D12,'Inputs'!D18,'Inputs'!D24,'Inputs'!E30,'Inputs'!D36,'Inputs'!D42,'Inputs'!D48,'Inputs'!D54,'Inputs'!D60,'Inputs'!D66,'Inputs'!D72,'Inputs'!D78,'Inputs'!D84,'Inputs'!D90,'Inputs'!D96,'Inputs'!D102)=16,ISNUMBER('Inputs'!$B$5),'Inputs'!$B$5&gt;0,INT('Inputs'!$B$5)='Inputs'!$B$5),('Inputs'!$B$5*('Inputs'!D12*'Inputs'!D18*('Inputs'!D24-'Inputs'!E30-'Inputs'!D36-'Inputs'!D42*'Inputs'!D48)/60-'Inputs'!D84-'Inputs'!D90)-'Inputs'!D72)*'Inputs'!D66*'Inputs'!D102-('Inputs'!$B$5*('Inputs'!D12*'Inputs'!D18*'Inputs'!D54*'Inputs'!D60+'Inputs'!D96)+'Inputs'!D78),"UNKNOWN")</x:f>
        <x:v>-858</x:v>
      </x:c>
      <x:c r="E13" s="3"/>
    </x:row>
    <x:row r="14" ht="21" customHeight="1">
      <x:c r="A14" s="3" t="str">
        <x:v>checking_minutes</x:v>
      </x:c>
      <x:c r="B14" s="3" t="str">
        <x:v>Low</x:v>
      </x:c>
      <x:c r="C14" s="22" t="n">
        <x:f>IF(AND(COUNT('Inputs'!D12,'Inputs'!D18,'Inputs'!D24,'Inputs'!D30,'Inputs'!C36,'Inputs'!D42,'Inputs'!D48,'Inputs'!D54,'Inputs'!D60,'Inputs'!D66,'Inputs'!D72,'Inputs'!D78,'Inputs'!D84,'Inputs'!D90,'Inputs'!D96)=15,ISNUMBER('Inputs'!$B$5),'Inputs'!$B$5&gt;0,INT('Inputs'!$B$5)='Inputs'!$B$5),('Inputs'!$B$5*('Inputs'!D12*'Inputs'!D18*('Inputs'!D24-'Inputs'!D30-'Inputs'!C36-'Inputs'!D42*'Inputs'!D48)/60-'Inputs'!D84-'Inputs'!D90)-'Inputs'!D72)*'Inputs'!D66-('Inputs'!$B$5*('Inputs'!D12*'Inputs'!D18*'Inputs'!D54*'Inputs'!D60+'Inputs'!D96)+'Inputs'!D78),"UNKNOWN")</x:f>
        <x:v>98622</x:v>
      </x:c>
      <x:c r="D14" s="22" t="n">
        <x:f>IF(AND(COUNT('Inputs'!D12,'Inputs'!D18,'Inputs'!D24,'Inputs'!D30,'Inputs'!C36,'Inputs'!D42,'Inputs'!D48,'Inputs'!D54,'Inputs'!D60,'Inputs'!D66,'Inputs'!D72,'Inputs'!D78,'Inputs'!D84,'Inputs'!D90,'Inputs'!D96,'Inputs'!D102)=16,ISNUMBER('Inputs'!$B$5),'Inputs'!$B$5&gt;0,INT('Inputs'!$B$5)='Inputs'!$B$5),('Inputs'!$B$5*('Inputs'!D12*'Inputs'!D18*('Inputs'!D24-'Inputs'!D30-'Inputs'!C36-'Inputs'!D42*'Inputs'!D48)/60-'Inputs'!D84-'Inputs'!D90)-'Inputs'!D72)*'Inputs'!D66*'Inputs'!D102-('Inputs'!$B$5*('Inputs'!D12*'Inputs'!D18*'Inputs'!D54*'Inputs'!D60+'Inputs'!D96)+'Inputs'!D78),"UNKNOWN")</x:f>
        <x:v>-858</x:v>
      </x:c>
      <x:c r="E14" s="3"/>
    </x:row>
    <x:row r="15" ht="21" customHeight="1">
      <x:c r="A15" s="3" t="str">
        <x:v>checking_minutes</x:v>
      </x:c>
      <x:c r="B15" s="3" t="str">
        <x:v>High</x:v>
      </x:c>
      <x:c r="C15" s="22" t="n">
        <x:f>IF(AND(COUNT('Inputs'!D12,'Inputs'!D18,'Inputs'!D24,'Inputs'!D30,'Inputs'!E36,'Inputs'!D42,'Inputs'!D48,'Inputs'!D54,'Inputs'!D60,'Inputs'!D66,'Inputs'!D72,'Inputs'!D78,'Inputs'!D84,'Inputs'!D90,'Inputs'!D96)=15,ISNUMBER('Inputs'!$B$5),'Inputs'!$B$5&gt;0,INT('Inputs'!$B$5)='Inputs'!$B$5),('Inputs'!$B$5*('Inputs'!D12*'Inputs'!D18*('Inputs'!D24-'Inputs'!D30-'Inputs'!E36-'Inputs'!D42*'Inputs'!D48)/60-'Inputs'!D84-'Inputs'!D90)-'Inputs'!D72)*'Inputs'!D66-('Inputs'!$B$5*('Inputs'!D12*'Inputs'!D18*'Inputs'!D54*'Inputs'!D60+'Inputs'!D96)+'Inputs'!D78),"UNKNOWN")</x:f>
        <x:v>79422</x:v>
      </x:c>
      <x:c r="D15" s="22" t="n">
        <x:f>IF(AND(COUNT('Inputs'!D12,'Inputs'!D18,'Inputs'!D24,'Inputs'!D30,'Inputs'!E36,'Inputs'!D42,'Inputs'!D48,'Inputs'!D54,'Inputs'!D60,'Inputs'!D66,'Inputs'!D72,'Inputs'!D78,'Inputs'!D84,'Inputs'!D90,'Inputs'!D96,'Inputs'!D102)=16,ISNUMBER('Inputs'!$B$5),'Inputs'!$B$5&gt;0,INT('Inputs'!$B$5)='Inputs'!$B$5),('Inputs'!$B$5*('Inputs'!D12*'Inputs'!D18*('Inputs'!D24-'Inputs'!D30-'Inputs'!E36-'Inputs'!D42*'Inputs'!D48)/60-'Inputs'!D84-'Inputs'!D90)-'Inputs'!D72)*'Inputs'!D66*'Inputs'!D102-('Inputs'!$B$5*('Inputs'!D12*'Inputs'!D18*'Inputs'!D54*'Inputs'!D60+'Inputs'!D96)+'Inputs'!D78),"UNKNOWN")</x:f>
        <x:v>-858</x:v>
      </x:c>
      <x:c r="E15" s="3"/>
    </x:row>
    <x:row r="16" ht="21" customHeight="1">
      <x:c r="A16" s="3" t="str">
        <x:v>rework_fraction</x:v>
      </x:c>
      <x:c r="B16" s="3" t="str">
        <x:v>Low</x:v>
      </x:c>
      <x:c r="C16" s="22" t="n">
        <x:f>IF(AND(COUNT('Inputs'!D12,'Inputs'!D18,'Inputs'!D24,'Inputs'!D30,'Inputs'!D36,'Inputs'!C42,'Inputs'!D48,'Inputs'!D54,'Inputs'!D60,'Inputs'!D66,'Inputs'!D72,'Inputs'!D78,'Inputs'!D84,'Inputs'!D90,'Inputs'!D96)=15,ISNUMBER('Inputs'!$B$5),'Inputs'!$B$5&gt;0,INT('Inputs'!$B$5)='Inputs'!$B$5),('Inputs'!$B$5*('Inputs'!D12*'Inputs'!D18*('Inputs'!D24-'Inputs'!D30-'Inputs'!D36-'Inputs'!C42*'Inputs'!D48)/60-'Inputs'!D84-'Inputs'!D90)-'Inputs'!D72)*'Inputs'!D66-('Inputs'!$B$5*('Inputs'!D12*'Inputs'!D18*'Inputs'!D54*'Inputs'!D60+'Inputs'!D96)+'Inputs'!D78),"UNKNOWN")</x:f>
        <x:v>93822</x:v>
      </x:c>
      <x:c r="D16" s="22" t="n">
        <x:f>IF(AND(COUNT('Inputs'!D12,'Inputs'!D18,'Inputs'!D24,'Inputs'!D30,'Inputs'!D36,'Inputs'!C42,'Inputs'!D48,'Inputs'!D54,'Inputs'!D60,'Inputs'!D66,'Inputs'!D72,'Inputs'!D78,'Inputs'!D84,'Inputs'!D90,'Inputs'!D96,'Inputs'!D102)=16,ISNUMBER('Inputs'!$B$5),'Inputs'!$B$5&gt;0,INT('Inputs'!$B$5)='Inputs'!$B$5),('Inputs'!$B$5*('Inputs'!D12*'Inputs'!D18*('Inputs'!D24-'Inputs'!D30-'Inputs'!D36-'Inputs'!C42*'Inputs'!D48)/60-'Inputs'!D84-'Inputs'!D90)-'Inputs'!D72)*'Inputs'!D66*'Inputs'!D102-('Inputs'!$B$5*('Inputs'!D12*'Inputs'!D18*'Inputs'!D54*'Inputs'!D60+'Inputs'!D96)+'Inputs'!D78),"UNKNOWN")</x:f>
        <x:v>-858</x:v>
      </x:c>
      <x:c r="E16" s="3"/>
    </x:row>
    <x:row r="17" ht="21" customHeight="1">
      <x:c r="A17" s="3" t="str">
        <x:v>rework_fraction</x:v>
      </x:c>
      <x:c r="B17" s="3" t="str">
        <x:v>High</x:v>
      </x:c>
      <x:c r="C17" s="22" t="n">
        <x:f>IF(AND(COUNT('Inputs'!D12,'Inputs'!D18,'Inputs'!D24,'Inputs'!D30,'Inputs'!D36,'Inputs'!E42,'Inputs'!D48,'Inputs'!D54,'Inputs'!D60,'Inputs'!D66,'Inputs'!D72,'Inputs'!D78,'Inputs'!D84,'Inputs'!D90,'Inputs'!D96)=15,ISNUMBER('Inputs'!$B$5),'Inputs'!$B$5&gt;0,INT('Inputs'!$B$5)='Inputs'!$B$5),('Inputs'!$B$5*('Inputs'!D12*'Inputs'!D18*('Inputs'!D24-'Inputs'!D30-'Inputs'!D36-'Inputs'!E42*'Inputs'!D48)/60-'Inputs'!D84-'Inputs'!D90)-'Inputs'!D72)*'Inputs'!D66-('Inputs'!$B$5*('Inputs'!D12*'Inputs'!D18*'Inputs'!D54*'Inputs'!D60+'Inputs'!D96)+'Inputs'!D78),"UNKNOWN")</x:f>
        <x:v>88062</x:v>
      </x:c>
      <x:c r="D17" s="22" t="n">
        <x:f>IF(AND(COUNT('Inputs'!D12,'Inputs'!D18,'Inputs'!D24,'Inputs'!D30,'Inputs'!D36,'Inputs'!E42,'Inputs'!D48,'Inputs'!D54,'Inputs'!D60,'Inputs'!D66,'Inputs'!D72,'Inputs'!D78,'Inputs'!D84,'Inputs'!D90,'Inputs'!D96,'Inputs'!D102)=16,ISNUMBER('Inputs'!$B$5),'Inputs'!$B$5&gt;0,INT('Inputs'!$B$5)='Inputs'!$B$5),('Inputs'!$B$5*('Inputs'!D12*'Inputs'!D18*('Inputs'!D24-'Inputs'!D30-'Inputs'!D36-'Inputs'!E42*'Inputs'!D48)/60-'Inputs'!D84-'Inputs'!D90)-'Inputs'!D72)*'Inputs'!D66*'Inputs'!D102-('Inputs'!$B$5*('Inputs'!D12*'Inputs'!D18*'Inputs'!D54*'Inputs'!D60+'Inputs'!D96)+'Inputs'!D78),"UNKNOWN")</x:f>
        <x:v>-858</x:v>
      </x:c>
      <x:c r="E17" s="3"/>
    </x:row>
    <x:row r="18" ht="21" customHeight="1">
      <x:c r="A18" s="3" t="str">
        <x:v>rework_minutes</x:v>
      </x:c>
      <x:c r="B18" s="3" t="str">
        <x:v>Low</x:v>
      </x:c>
      <x:c r="C18" s="22" t="n">
        <x:f>IF(AND(COUNT('Inputs'!D12,'Inputs'!D18,'Inputs'!D24,'Inputs'!D30,'Inputs'!D36,'Inputs'!D42,'Inputs'!C48,'Inputs'!D54,'Inputs'!D60,'Inputs'!D66,'Inputs'!D72,'Inputs'!D78,'Inputs'!D84,'Inputs'!D90,'Inputs'!D96)=15,ISNUMBER('Inputs'!$B$5),'Inputs'!$B$5&gt;0,INT('Inputs'!$B$5)='Inputs'!$B$5),('Inputs'!$B$5*('Inputs'!D12*'Inputs'!D18*('Inputs'!D24-'Inputs'!D30-'Inputs'!D36-'Inputs'!D42*'Inputs'!C48)/60-'Inputs'!D84-'Inputs'!D90)-'Inputs'!D72)*'Inputs'!D66-('Inputs'!$B$5*('Inputs'!D12*'Inputs'!D18*'Inputs'!D54*'Inputs'!D60+'Inputs'!D96)+'Inputs'!D78),"UNKNOWN")</x:f>
        <x:v>93822</x:v>
      </x:c>
      <x:c r="D18" s="22" t="n">
        <x:f>IF(AND(COUNT('Inputs'!D12,'Inputs'!D18,'Inputs'!D24,'Inputs'!D30,'Inputs'!D36,'Inputs'!D42,'Inputs'!C48,'Inputs'!D54,'Inputs'!D60,'Inputs'!D66,'Inputs'!D72,'Inputs'!D78,'Inputs'!D84,'Inputs'!D90,'Inputs'!D96,'Inputs'!D102)=16,ISNUMBER('Inputs'!$B$5),'Inputs'!$B$5&gt;0,INT('Inputs'!$B$5)='Inputs'!$B$5),('Inputs'!$B$5*('Inputs'!D12*'Inputs'!D18*('Inputs'!D24-'Inputs'!D30-'Inputs'!D36-'Inputs'!D42*'Inputs'!C48)/60-'Inputs'!D84-'Inputs'!D90)-'Inputs'!D72)*'Inputs'!D66*'Inputs'!D102-('Inputs'!$B$5*('Inputs'!D12*'Inputs'!D18*'Inputs'!D54*'Inputs'!D60+'Inputs'!D96)+'Inputs'!D78),"UNKNOWN")</x:f>
        <x:v>-858</x:v>
      </x:c>
      <x:c r="E18" s="3"/>
    </x:row>
    <x:row r="19" ht="21" customHeight="1">
      <x:c r="A19" s="3" t="str">
        <x:v>rework_minutes</x:v>
      </x:c>
      <x:c r="B19" s="3" t="str">
        <x:v>High</x:v>
      </x:c>
      <x:c r="C19" s="22" t="n">
        <x:f>IF(AND(COUNT('Inputs'!D12,'Inputs'!D18,'Inputs'!D24,'Inputs'!D30,'Inputs'!D36,'Inputs'!D42,'Inputs'!E48,'Inputs'!D54,'Inputs'!D60,'Inputs'!D66,'Inputs'!D72,'Inputs'!D78,'Inputs'!D84,'Inputs'!D90,'Inputs'!D96)=15,ISNUMBER('Inputs'!$B$5),'Inputs'!$B$5&gt;0,INT('Inputs'!$B$5)='Inputs'!$B$5),('Inputs'!$B$5*('Inputs'!D12*'Inputs'!D18*('Inputs'!D24-'Inputs'!D30-'Inputs'!D36-'Inputs'!D42*'Inputs'!E48)/60-'Inputs'!D84-'Inputs'!D90)-'Inputs'!D72)*'Inputs'!D66-('Inputs'!$B$5*('Inputs'!D12*'Inputs'!D18*'Inputs'!D54*'Inputs'!D60+'Inputs'!D96)+'Inputs'!D78),"UNKNOWN")</x:f>
        <x:v>88062</x:v>
      </x:c>
      <x:c r="D19" s="22" t="n">
        <x:f>IF(AND(COUNT('Inputs'!D12,'Inputs'!D18,'Inputs'!D24,'Inputs'!D30,'Inputs'!D36,'Inputs'!D42,'Inputs'!E48,'Inputs'!D54,'Inputs'!D60,'Inputs'!D66,'Inputs'!D72,'Inputs'!D78,'Inputs'!D84,'Inputs'!D90,'Inputs'!D96,'Inputs'!D102)=16,ISNUMBER('Inputs'!$B$5),'Inputs'!$B$5&gt;0,INT('Inputs'!$B$5)='Inputs'!$B$5),('Inputs'!$B$5*('Inputs'!D12*'Inputs'!D18*('Inputs'!D24-'Inputs'!D30-'Inputs'!D36-'Inputs'!D42*'Inputs'!E48)/60-'Inputs'!D84-'Inputs'!D90)-'Inputs'!D72)*'Inputs'!D66*'Inputs'!D102-('Inputs'!$B$5*('Inputs'!D12*'Inputs'!D18*'Inputs'!D54*'Inputs'!D60+'Inputs'!D96)+'Inputs'!D78),"UNKNOWN")</x:f>
        <x:v>-858</x:v>
      </x:c>
      <x:c r="E19" s="3"/>
    </x:row>
    <x:row r="20" ht="21" customHeight="1">
      <x:c r="A20" s="3" t="str">
        <x:v>attempts_per_task</x:v>
      </x:c>
      <x:c r="B20" s="3" t="str">
        <x:v>Low</x:v>
      </x:c>
      <x:c r="C20" s="22" t="n">
        <x:f>IF(AND(COUNT('Inputs'!D12,'Inputs'!D18,'Inputs'!D24,'Inputs'!D30,'Inputs'!D36,'Inputs'!D42,'Inputs'!D48,'Inputs'!C54,'Inputs'!D60,'Inputs'!D66,'Inputs'!D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C54*'Inputs'!D60+'Inputs'!D96)+'Inputs'!D78),"UNKNOWN")</x:f>
        <x:v>91038</x:v>
      </x:c>
      <x:c r="D20" s="22" t="n">
        <x:f>IF(AND(COUNT('Inputs'!D12,'Inputs'!D18,'Inputs'!D24,'Inputs'!D30,'Inputs'!D36,'Inputs'!D42,'Inputs'!D48,'Inputs'!C54,'Inputs'!D60,'Inputs'!D66,'Inputs'!D72,'Inputs'!D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D72)*'Inputs'!D66*'Inputs'!D102-('Inputs'!$B$5*('Inputs'!D12*'Inputs'!D18*'Inputs'!C54*'Inputs'!D60+'Inputs'!D96)+'Inputs'!D78),"UNKNOWN")</x:f>
        <x:v>-762</x:v>
      </x:c>
      <x:c r="E20" s="3"/>
    </x:row>
    <x:row r="21" ht="21" customHeight="1">
      <x:c r="A21" s="3" t="str">
        <x:v>attempts_per_task</x:v>
      </x:c>
      <x:c r="B21" s="3" t="str">
        <x:v>High</x:v>
      </x:c>
      <x:c r="C21" s="22" t="n">
        <x:f>IF(AND(COUNT('Inputs'!D12,'Inputs'!D18,'Inputs'!D24,'Inputs'!D30,'Inputs'!D36,'Inputs'!D42,'Inputs'!D48,'Inputs'!E54,'Inputs'!D60,'Inputs'!D66,'Inputs'!D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E54*'Inputs'!D60+'Inputs'!D96)+'Inputs'!D78),"UNKNOWN")</x:f>
        <x:v>90846</x:v>
      </x:c>
      <x:c r="D21" s="22" t="n">
        <x:f>IF(AND(COUNT('Inputs'!D12,'Inputs'!D18,'Inputs'!D24,'Inputs'!D30,'Inputs'!D36,'Inputs'!D42,'Inputs'!D48,'Inputs'!E54,'Inputs'!D60,'Inputs'!D66,'Inputs'!D72,'Inputs'!D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D72)*'Inputs'!D66*'Inputs'!D102-('Inputs'!$B$5*('Inputs'!D12*'Inputs'!D18*'Inputs'!E54*'Inputs'!D60+'Inputs'!D96)+'Inputs'!D78),"UNKNOWN")</x:f>
        <x:v>-954</x:v>
      </x:c>
      <x:c r="E21" s="3"/>
    </x:row>
    <x:row r="22" ht="21" customHeight="1">
      <x:c r="A22" s="3" t="str">
        <x:v>generation_cash_per_attempt</x:v>
      </x:c>
      <x:c r="B22" s="3" t="str">
        <x:v>Low</x:v>
      </x:c>
      <x:c r="C22" s="22" t="n">
        <x:f>IF(AND(COUNT('Inputs'!D12,'Inputs'!D18,'Inputs'!D24,'Inputs'!D30,'Inputs'!D36,'Inputs'!D42,'Inputs'!D48,'Inputs'!D54,'Inputs'!C60,'Inputs'!D66,'Inputs'!D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D54*'Inputs'!C60+'Inputs'!D96)+'Inputs'!D78),"UNKNOWN")</x:f>
        <x:v>91057.2</x:v>
      </x:c>
      <x:c r="D22" s="22" t="n">
        <x:f>IF(AND(COUNT('Inputs'!D12,'Inputs'!D18,'Inputs'!D24,'Inputs'!D30,'Inputs'!D36,'Inputs'!D42,'Inputs'!D48,'Inputs'!D54,'Inputs'!C60,'Inputs'!D66,'Inputs'!D72,'Inputs'!D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D72)*'Inputs'!D66*'Inputs'!D102-('Inputs'!$B$5*('Inputs'!D12*'Inputs'!D18*'Inputs'!D54*'Inputs'!C60+'Inputs'!D96)+'Inputs'!D78),"UNKNOWN")</x:f>
        <x:v>-742.8</x:v>
      </x:c>
      <x:c r="E22" s="3"/>
    </x:row>
    <x:row r="23" ht="21" customHeight="1">
      <x:c r="A23" s="3" t="str">
        <x:v>generation_cash_per_attempt</x:v>
      </x:c>
      <x:c r="B23" s="3" t="str">
        <x:v>High</x:v>
      </x:c>
      <x:c r="C23" s="22" t="n">
        <x:f>IF(AND(COUNT('Inputs'!D12,'Inputs'!D18,'Inputs'!D24,'Inputs'!D30,'Inputs'!D36,'Inputs'!D42,'Inputs'!D48,'Inputs'!D54,'Inputs'!E60,'Inputs'!D66,'Inputs'!D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D54*'Inputs'!E60+'Inputs'!D96)+'Inputs'!D78),"UNKNOWN")</x:f>
        <x:v>90769.2</x:v>
      </x:c>
      <x:c r="D23" s="22" t="n">
        <x:f>IF(AND(COUNT('Inputs'!D12,'Inputs'!D18,'Inputs'!D24,'Inputs'!D30,'Inputs'!D36,'Inputs'!D42,'Inputs'!D48,'Inputs'!D54,'Inputs'!E60,'Inputs'!D66,'Inputs'!D72,'Inputs'!D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D72)*'Inputs'!D66*'Inputs'!D102-('Inputs'!$B$5*('Inputs'!D12*'Inputs'!D18*'Inputs'!D54*'Inputs'!E60+'Inputs'!D96)+'Inputs'!D78),"UNKNOWN")</x:f>
        <x:v>-1030.8000000000002</x:v>
      </x:c>
      <x:c r="E23" s="3"/>
    </x:row>
    <x:row r="24" ht="21" customHeight="1">
      <x:c r="A24" s="3" t="str">
        <x:v>loaded_hourly_rate</x:v>
      </x:c>
      <x:c r="B24" s="3" t="str">
        <x:v>Low</x:v>
      </x:c>
      <x:c r="C24" s="22" t="n">
        <x:f>IF(AND(COUNT('Inputs'!D12,'Inputs'!D18,'Inputs'!D24,'Inputs'!D30,'Inputs'!D36,'Inputs'!D42,'Inputs'!D48,'Inputs'!D54,'Inputs'!D60,'Inputs'!C66,'Inputs'!D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C66-('Inputs'!$B$5*('Inputs'!D12*'Inputs'!D18*'Inputs'!D54*'Inputs'!D60+'Inputs'!D96)+'Inputs'!D78),"UNKNOWN")</x:f>
        <x:v>75642</x:v>
      </x:c>
      <x:c r="D24" s="22" t="n">
        <x:f>IF(AND(COUNT('Inputs'!D12,'Inputs'!D18,'Inputs'!D24,'Inputs'!D30,'Inputs'!D36,'Inputs'!D42,'Inputs'!D48,'Inputs'!D54,'Inputs'!D60,'Inputs'!C66,'Inputs'!D72,'Inputs'!D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D72)*'Inputs'!C66*'Inputs'!D102-('Inputs'!$B$5*('Inputs'!D12*'Inputs'!D18*'Inputs'!D54*'Inputs'!D60+'Inputs'!D96)+'Inputs'!D78),"UNKNOWN")</x:f>
        <x:v>-858</x:v>
      </x:c>
      <x:c r="E24" s="3"/>
    </x:row>
    <x:row r="25" ht="21" customHeight="1">
      <x:c r="A25" s="3" t="str">
        <x:v>loaded_hourly_rate</x:v>
      </x:c>
      <x:c r="B25" s="3" t="str">
        <x:v>High</x:v>
      </x:c>
      <x:c r="C25" s="22" t="n">
        <x:f>IF(AND(COUNT('Inputs'!D12,'Inputs'!D18,'Inputs'!D24,'Inputs'!D30,'Inputs'!D36,'Inputs'!D42,'Inputs'!D48,'Inputs'!D54,'Inputs'!D60,'Inputs'!E66,'Inputs'!D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E66-('Inputs'!$B$5*('Inputs'!D12*'Inputs'!D18*'Inputs'!D54*'Inputs'!D60+'Inputs'!D96)+'Inputs'!D78),"UNKNOWN")</x:f>
        <x:v>106242</x:v>
      </x:c>
      <x:c r="D25" s="22" t="n">
        <x:f>IF(AND(COUNT('Inputs'!D12,'Inputs'!D18,'Inputs'!D24,'Inputs'!D30,'Inputs'!D36,'Inputs'!D42,'Inputs'!D48,'Inputs'!D54,'Inputs'!D60,'Inputs'!E66,'Inputs'!D72,'Inputs'!D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D72)*'Inputs'!E66*'Inputs'!D102-('Inputs'!$B$5*('Inputs'!D12*'Inputs'!D18*'Inputs'!D54*'Inputs'!D60+'Inputs'!D96)+'Inputs'!D78),"UNKNOWN")</x:f>
        <x:v>-858</x:v>
      </x:c>
      <x:c r="E25" s="3"/>
    </x:row>
    <x:row r="26" ht="21" customHeight="1">
      <x:c r="A26" s="3" t="str">
        <x:v>integration_hours</x:v>
      </x:c>
      <x:c r="B26" s="3" t="str">
        <x:v>Low</x:v>
      </x:c>
      <x:c r="C26" s="22" t="n">
        <x:f>IF(AND(COUNT('Inputs'!D12,'Inputs'!D18,'Inputs'!D24,'Inputs'!D30,'Inputs'!D36,'Inputs'!D42,'Inputs'!D48,'Inputs'!D54,'Inputs'!D60,'Inputs'!D66,'Inputs'!C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C72)*'Inputs'!D66-('Inputs'!$B$5*('Inputs'!D12*'Inputs'!D18*'Inputs'!D54*'Inputs'!D60+'Inputs'!D96)+'Inputs'!D78),"UNKNOWN")</x:f>
        <x:v>91302</x:v>
      </x:c>
      <x:c r="D26" s="22" t="n">
        <x:f>IF(AND(COUNT('Inputs'!D12,'Inputs'!D18,'Inputs'!D24,'Inputs'!D30,'Inputs'!D36,'Inputs'!D42,'Inputs'!D48,'Inputs'!D54,'Inputs'!D60,'Inputs'!D66,'Inputs'!C72,'Inputs'!D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C72)*'Inputs'!D66*'Inputs'!D102-('Inputs'!$B$5*('Inputs'!D12*'Inputs'!D18*'Inputs'!D54*'Inputs'!D60+'Inputs'!D96)+'Inputs'!D78),"UNKNOWN")</x:f>
        <x:v>-858</x:v>
      </x:c>
      <x:c r="E26" s="3"/>
    </x:row>
    <x:row r="27" ht="21" customHeight="1">
      <x:c r="A27" s="3" t="str">
        <x:v>integration_hours</x:v>
      </x:c>
      <x:c r="B27" s="3" t="str">
        <x:v>High</x:v>
      </x:c>
      <x:c r="C27" s="22" t="n">
        <x:f>IF(AND(COUNT('Inputs'!D12,'Inputs'!D18,'Inputs'!D24,'Inputs'!D30,'Inputs'!D36,'Inputs'!D42,'Inputs'!D48,'Inputs'!D54,'Inputs'!D60,'Inputs'!D66,'Inputs'!E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E72)*'Inputs'!D66-('Inputs'!$B$5*('Inputs'!D12*'Inputs'!D18*'Inputs'!D54*'Inputs'!D60+'Inputs'!D96)+'Inputs'!D78),"UNKNOWN")</x:f>
        <x:v>90582</x:v>
      </x:c>
      <x:c r="D27" s="22" t="n">
        <x:f>IF(AND(COUNT('Inputs'!D12,'Inputs'!D18,'Inputs'!D24,'Inputs'!D30,'Inputs'!D36,'Inputs'!D42,'Inputs'!D48,'Inputs'!D54,'Inputs'!D60,'Inputs'!D66,'Inputs'!E72,'Inputs'!D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E72)*'Inputs'!D66*'Inputs'!D102-('Inputs'!$B$5*('Inputs'!D12*'Inputs'!D18*'Inputs'!D54*'Inputs'!D60+'Inputs'!D96)+'Inputs'!D78),"UNKNOWN")</x:f>
        <x:v>-858</x:v>
      </x:c>
      <x:c r="E27" s="3"/>
    </x:row>
    <x:row r="28" ht="21" customHeight="1">
      <x:c r="A28" s="3" t="str">
        <x:v>setup_cash</x:v>
      </x:c>
      <x:c r="B28" s="3" t="str">
        <x:v>Low</x:v>
      </x:c>
      <x:c r="C28" s="22" t="n">
        <x:f>IF(AND(COUNT('Inputs'!D12,'Inputs'!D18,'Inputs'!D24,'Inputs'!D30,'Inputs'!D36,'Inputs'!D42,'Inputs'!D48,'Inputs'!D54,'Inputs'!D60,'Inputs'!D66,'Inputs'!D72,'Inputs'!C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D54*'Inputs'!D60+'Inputs'!D96)+'Inputs'!C78),"UNKNOWN")</x:f>
        <x:v>90992</x:v>
      </x:c>
      <x:c r="D28" s="22" t="n">
        <x:f>IF(AND(COUNT('Inputs'!D12,'Inputs'!D18,'Inputs'!D24,'Inputs'!D30,'Inputs'!D36,'Inputs'!D42,'Inputs'!D48,'Inputs'!D54,'Inputs'!D60,'Inputs'!D66,'Inputs'!D72,'Inputs'!C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D72)*'Inputs'!D66*'Inputs'!D102-('Inputs'!$B$5*('Inputs'!D12*'Inputs'!D18*'Inputs'!D54*'Inputs'!D60+'Inputs'!D96)+'Inputs'!C78),"UNKNOWN")</x:f>
        <x:v>-808</x:v>
      </x:c>
      <x:c r="E28" s="3"/>
    </x:row>
    <x:row r="29" ht="21" customHeight="1">
      <x:c r="A29" s="3" t="str">
        <x:v>setup_cash</x:v>
      </x:c>
      <x:c r="B29" s="3" t="str">
        <x:v>High</x:v>
      </x:c>
      <x:c r="C29" s="22" t="n">
        <x:f>IF(AND(COUNT('Inputs'!D12,'Inputs'!D18,'Inputs'!D24,'Inputs'!D30,'Inputs'!D36,'Inputs'!D42,'Inputs'!D48,'Inputs'!D54,'Inputs'!D60,'Inputs'!D66,'Inputs'!D72,'Inputs'!E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D54*'Inputs'!D60+'Inputs'!D96)+'Inputs'!E78),"UNKNOWN")</x:f>
        <x:v>90892</x:v>
      </x:c>
      <x:c r="D29" s="22" t="n">
        <x:f>IF(AND(COUNT('Inputs'!D12,'Inputs'!D18,'Inputs'!D24,'Inputs'!D30,'Inputs'!D36,'Inputs'!D42,'Inputs'!D48,'Inputs'!D54,'Inputs'!D60,'Inputs'!D66,'Inputs'!D72,'Inputs'!E78,'Inputs'!D84,'Inputs'!D90,'Inputs'!D96,'Inputs'!D102)=16,ISNUMBER('Inputs'!$B$5),'Inputs'!$B$5&gt;0,INT('Inputs'!$B$5)='Inputs'!$B$5),('Inputs'!$B$5*('Inputs'!D12*'Inputs'!D18*('Inputs'!D24-'Inputs'!D30-'Inputs'!D36-'Inputs'!D42*'Inputs'!D48)/60-'Inputs'!D84-'Inputs'!D90)-'Inputs'!D72)*'Inputs'!D66*'Inputs'!D102-('Inputs'!$B$5*('Inputs'!D12*'Inputs'!D18*'Inputs'!D54*'Inputs'!D60+'Inputs'!D96)+'Inputs'!E78),"UNKNOWN")</x:f>
        <x:v>-908</x:v>
      </x:c>
      <x:c r="E29" s="3"/>
    </x:row>
    <x:row r="30" ht="21" customHeight="1">
      <x:c r="A30" s="3" t="str">
        <x:v>support_hours</x:v>
      </x:c>
      <x:c r="B30" s="3" t="str">
        <x:v>Low</x:v>
      </x:c>
      <x:c r="C30" s="22" t="n">
        <x:f>IF(AND(COUNT('Inputs'!D12,'Inputs'!D18,'Inputs'!D24,'Inputs'!D30,'Inputs'!D36,'Inputs'!D42,'Inputs'!D48,'Inputs'!D54,'Inputs'!D60,'Inputs'!D66,'Inputs'!D72,'Inputs'!D78,'Inputs'!C84,'Inputs'!D90,'Inputs'!D96)=15,ISNUMBER('Inputs'!$B$5),'Inputs'!$B$5&gt;0,INT('Inputs'!$B$5)='Inputs'!$B$5),('Inputs'!$B$5*('Inputs'!D12*'Inputs'!D18*('Inputs'!D24-'Inputs'!D30-'Inputs'!D36-'Inputs'!D42*'Inputs'!D48)/60-'Inputs'!C84-'Inputs'!D90)-'Inputs'!D72)*'Inputs'!D66-('Inputs'!$B$5*('Inputs'!D12*'Inputs'!D18*'Inputs'!D54*'Inputs'!D60+'Inputs'!D96)+'Inputs'!D78),"UNKNOWN")</x:f>
        <x:v>91302</x:v>
      </x:c>
      <x:c r="D30" s="22" t="n">
        <x:f>IF(AND(COUNT('Inputs'!D12,'Inputs'!D18,'Inputs'!D24,'Inputs'!D30,'Inputs'!D36,'Inputs'!D42,'Inputs'!D48,'Inputs'!D54,'Inputs'!D60,'Inputs'!D66,'Inputs'!D72,'Inputs'!D78,'Inputs'!C84,'Inputs'!D90,'Inputs'!D96,'Inputs'!D102)=16,ISNUMBER('Inputs'!$B$5),'Inputs'!$B$5&gt;0,INT('Inputs'!$B$5)='Inputs'!$B$5),('Inputs'!$B$5*('Inputs'!D12*'Inputs'!D18*('Inputs'!D24-'Inputs'!D30-'Inputs'!D36-'Inputs'!D42*'Inputs'!D48)/60-'Inputs'!C84-'Inputs'!D90)-'Inputs'!D72)*'Inputs'!D66*'Inputs'!D102-('Inputs'!$B$5*('Inputs'!D12*'Inputs'!D18*'Inputs'!D54*'Inputs'!D60+'Inputs'!D96)+'Inputs'!D78),"UNKNOWN")</x:f>
        <x:v>-858</x:v>
      </x:c>
      <x:c r="E30" s="3"/>
    </x:row>
    <x:row r="31" ht="21" customHeight="1">
      <x:c r="A31" s="3" t="str">
        <x:v>support_hours</x:v>
      </x:c>
      <x:c r="B31" s="3" t="str">
        <x:v>High</x:v>
      </x:c>
      <x:c r="C31" s="22" t="n">
        <x:f>IF(AND(COUNT('Inputs'!D12,'Inputs'!D18,'Inputs'!D24,'Inputs'!D30,'Inputs'!D36,'Inputs'!D42,'Inputs'!D48,'Inputs'!D54,'Inputs'!D60,'Inputs'!D66,'Inputs'!D72,'Inputs'!D78,'Inputs'!E84,'Inputs'!D90,'Inputs'!D96)=15,ISNUMBER('Inputs'!$B$5),'Inputs'!$B$5&gt;0,INT('Inputs'!$B$5)='Inputs'!$B$5),('Inputs'!$B$5*('Inputs'!D12*'Inputs'!D18*('Inputs'!D24-'Inputs'!D30-'Inputs'!D36-'Inputs'!D42*'Inputs'!D48)/60-'Inputs'!E84-'Inputs'!D90)-'Inputs'!D72)*'Inputs'!D66-('Inputs'!$B$5*('Inputs'!D12*'Inputs'!D18*'Inputs'!D54*'Inputs'!D60+'Inputs'!D96)+'Inputs'!D78),"UNKNOWN")</x:f>
        <x:v>90582</x:v>
      </x:c>
      <x:c r="D31" s="22" t="n">
        <x:f>IF(AND(COUNT('Inputs'!D12,'Inputs'!D18,'Inputs'!D24,'Inputs'!D30,'Inputs'!D36,'Inputs'!D42,'Inputs'!D48,'Inputs'!D54,'Inputs'!D60,'Inputs'!D66,'Inputs'!D72,'Inputs'!D78,'Inputs'!E84,'Inputs'!D90,'Inputs'!D96,'Inputs'!D102)=16,ISNUMBER('Inputs'!$B$5),'Inputs'!$B$5&gt;0,INT('Inputs'!$B$5)='Inputs'!$B$5),('Inputs'!$B$5*('Inputs'!D12*'Inputs'!D18*('Inputs'!D24-'Inputs'!D30-'Inputs'!D36-'Inputs'!D42*'Inputs'!D48)/60-'Inputs'!E84-'Inputs'!D90)-'Inputs'!D72)*'Inputs'!D66*'Inputs'!D102-('Inputs'!$B$5*('Inputs'!D12*'Inputs'!D18*'Inputs'!D54*'Inputs'!D60+'Inputs'!D96)+'Inputs'!D78),"UNKNOWN")</x:f>
        <x:v>-858</x:v>
      </x:c>
      <x:c r="E31" s="3"/>
    </x:row>
    <x:row r="32" ht="21" customHeight="1">
      <x:c r="A32" s="3" t="str">
        <x:v>maintenance_hours</x:v>
      </x:c>
      <x:c r="B32" s="3" t="str">
        <x:v>Low</x:v>
      </x:c>
      <x:c r="C32" s="22" t="n">
        <x:f>IF(AND(COUNT('Inputs'!D12,'Inputs'!D18,'Inputs'!D24,'Inputs'!D30,'Inputs'!D36,'Inputs'!D42,'Inputs'!D48,'Inputs'!D54,'Inputs'!D60,'Inputs'!D66,'Inputs'!D72,'Inputs'!D78,'Inputs'!D84,'Inputs'!C90,'Inputs'!D96)=15,ISNUMBER('Inputs'!$B$5),'Inputs'!$B$5&gt;0,INT('Inputs'!$B$5)='Inputs'!$B$5),('Inputs'!$B$5*('Inputs'!D12*'Inputs'!D18*('Inputs'!D24-'Inputs'!D30-'Inputs'!D36-'Inputs'!D42*'Inputs'!D48)/60-'Inputs'!D84-'Inputs'!C90)-'Inputs'!D72)*'Inputs'!D66-('Inputs'!$B$5*('Inputs'!D12*'Inputs'!D18*'Inputs'!D54*'Inputs'!D60+'Inputs'!D96)+'Inputs'!D78),"UNKNOWN")</x:f>
        <x:v>91302</x:v>
      </x:c>
      <x:c r="D32" s="22" t="n">
        <x:f>IF(AND(COUNT('Inputs'!D12,'Inputs'!D18,'Inputs'!D24,'Inputs'!D30,'Inputs'!D36,'Inputs'!D42,'Inputs'!D48,'Inputs'!D54,'Inputs'!D60,'Inputs'!D66,'Inputs'!D72,'Inputs'!D78,'Inputs'!D84,'Inputs'!C90,'Inputs'!D96,'Inputs'!D102)=16,ISNUMBER('Inputs'!$B$5),'Inputs'!$B$5&gt;0,INT('Inputs'!$B$5)='Inputs'!$B$5),('Inputs'!$B$5*('Inputs'!D12*'Inputs'!D18*('Inputs'!D24-'Inputs'!D30-'Inputs'!D36-'Inputs'!D42*'Inputs'!D48)/60-'Inputs'!D84-'Inputs'!C90)-'Inputs'!D72)*'Inputs'!D66*'Inputs'!D102-('Inputs'!$B$5*('Inputs'!D12*'Inputs'!D18*'Inputs'!D54*'Inputs'!D60+'Inputs'!D96)+'Inputs'!D78),"UNKNOWN")</x:f>
        <x:v>-858</x:v>
      </x:c>
      <x:c r="E32" s="3"/>
    </x:row>
    <x:row r="33" ht="21" customHeight="1">
      <x:c r="A33" s="3" t="str">
        <x:v>maintenance_hours</x:v>
      </x:c>
      <x:c r="B33" s="3" t="str">
        <x:v>High</x:v>
      </x:c>
      <x:c r="C33" s="22" t="n">
        <x:f>IF(AND(COUNT('Inputs'!D12,'Inputs'!D18,'Inputs'!D24,'Inputs'!D30,'Inputs'!D36,'Inputs'!D42,'Inputs'!D48,'Inputs'!D54,'Inputs'!D60,'Inputs'!D66,'Inputs'!D72,'Inputs'!D78,'Inputs'!D84,'Inputs'!E90,'Inputs'!D96)=15,ISNUMBER('Inputs'!$B$5),'Inputs'!$B$5&gt;0,INT('Inputs'!$B$5)='Inputs'!$B$5),('Inputs'!$B$5*('Inputs'!D12*'Inputs'!D18*('Inputs'!D24-'Inputs'!D30-'Inputs'!D36-'Inputs'!D42*'Inputs'!D48)/60-'Inputs'!D84-'Inputs'!E90)-'Inputs'!D72)*'Inputs'!D66-('Inputs'!$B$5*('Inputs'!D12*'Inputs'!D18*'Inputs'!D54*'Inputs'!D60+'Inputs'!D96)+'Inputs'!D78),"UNKNOWN")</x:f>
        <x:v>90582</x:v>
      </x:c>
      <x:c r="D33" s="22" t="n">
        <x:f>IF(AND(COUNT('Inputs'!D12,'Inputs'!D18,'Inputs'!D24,'Inputs'!D30,'Inputs'!D36,'Inputs'!D42,'Inputs'!D48,'Inputs'!D54,'Inputs'!D60,'Inputs'!D66,'Inputs'!D72,'Inputs'!D78,'Inputs'!D84,'Inputs'!E90,'Inputs'!D96,'Inputs'!D102)=16,ISNUMBER('Inputs'!$B$5),'Inputs'!$B$5&gt;0,INT('Inputs'!$B$5)='Inputs'!$B$5),('Inputs'!$B$5*('Inputs'!D12*'Inputs'!D18*('Inputs'!D24-'Inputs'!D30-'Inputs'!D36-'Inputs'!D42*'Inputs'!D48)/60-'Inputs'!D84-'Inputs'!E90)-'Inputs'!D72)*'Inputs'!D66*'Inputs'!D102-('Inputs'!$B$5*('Inputs'!D12*'Inputs'!D18*'Inputs'!D54*'Inputs'!D60+'Inputs'!D96)+'Inputs'!D78),"UNKNOWN")</x:f>
        <x:v>-858</x:v>
      </x:c>
      <x:c r="E33" s="3"/>
    </x:row>
    <x:row r="34" ht="21" customHeight="1">
      <x:c r="A34" s="3" t="str">
        <x:v>platform_cash</x:v>
      </x:c>
      <x:c r="B34" s="3" t="str">
        <x:v>Low</x:v>
      </x:c>
      <x:c r="C34" s="22" t="n">
        <x:f>IF(AND(COUNT('Inputs'!D12,'Inputs'!D18,'Inputs'!D24,'Inputs'!D30,'Inputs'!D36,'Inputs'!D42,'Inputs'!D48,'Inputs'!D54,'Inputs'!D60,'Inputs'!D66,'Inputs'!D72,'Inputs'!D78,'Inputs'!D84,'Inputs'!D90,'Inputs'!C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D54*'Inputs'!D60+'Inputs'!C96)+'Inputs'!D78),"UNKNOWN")</x:f>
        <x:v>91122</x:v>
      </x:c>
      <x:c r="D34" s="22" t="n">
        <x:f>IF(AND(COUNT('Inputs'!D12,'Inputs'!D18,'Inputs'!D24,'Inputs'!D30,'Inputs'!D36,'Inputs'!D42,'Inputs'!D48,'Inputs'!D54,'Inputs'!D60,'Inputs'!D66,'Inputs'!D72,'Inputs'!D78,'Inputs'!D84,'Inputs'!D90,'Inputs'!C96,'Inputs'!D102)=16,ISNUMBER('Inputs'!$B$5),'Inputs'!$B$5&gt;0,INT('Inputs'!$B$5)='Inputs'!$B$5),('Inputs'!$B$5*('Inputs'!D12*'Inputs'!D18*('Inputs'!D24-'Inputs'!D30-'Inputs'!D36-'Inputs'!D42*'Inputs'!D48)/60-'Inputs'!D84-'Inputs'!D90)-'Inputs'!D72)*'Inputs'!D66*'Inputs'!D102-('Inputs'!$B$5*('Inputs'!D12*'Inputs'!D18*'Inputs'!D54*'Inputs'!D60+'Inputs'!C96)+'Inputs'!D78),"UNKNOWN")</x:f>
        <x:v>-678</x:v>
      </x:c>
      <x:c r="E34" s="3"/>
    </x:row>
    <x:row r="35" ht="21" customHeight="1">
      <x:c r="A35" s="3" t="str">
        <x:v>platform_cash</x:v>
      </x:c>
      <x:c r="B35" s="3" t="str">
        <x:v>High</x:v>
      </x:c>
      <x:c r="C35" s="22" t="n">
        <x:f>IF(AND(COUNT('Inputs'!D12,'Inputs'!D18,'Inputs'!D24,'Inputs'!D30,'Inputs'!D36,'Inputs'!D42,'Inputs'!D48,'Inputs'!D54,'Inputs'!D60,'Inputs'!D66,'Inputs'!D72,'Inputs'!D78,'Inputs'!D84,'Inputs'!D90,'Inputs'!E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D54*'Inputs'!D60+'Inputs'!E96)+'Inputs'!D78),"UNKNOWN")</x:f>
        <x:v>90762</x:v>
      </x:c>
      <x:c r="D35" s="22" t="n">
        <x:f>IF(AND(COUNT('Inputs'!D12,'Inputs'!D18,'Inputs'!D24,'Inputs'!D30,'Inputs'!D36,'Inputs'!D42,'Inputs'!D48,'Inputs'!D54,'Inputs'!D60,'Inputs'!D66,'Inputs'!D72,'Inputs'!D78,'Inputs'!D84,'Inputs'!D90,'Inputs'!E96,'Inputs'!D102)=16,ISNUMBER('Inputs'!$B$5),'Inputs'!$B$5&gt;0,INT('Inputs'!$B$5)='Inputs'!$B$5),('Inputs'!$B$5*('Inputs'!D12*'Inputs'!D18*('Inputs'!D24-'Inputs'!D30-'Inputs'!D36-'Inputs'!D42*'Inputs'!D48)/60-'Inputs'!D84-'Inputs'!D90)-'Inputs'!D72)*'Inputs'!D66*'Inputs'!D102-('Inputs'!$B$5*('Inputs'!D12*'Inputs'!D18*'Inputs'!D54*'Inputs'!D60+'Inputs'!E96)+'Inputs'!D78),"UNKNOWN")</x:f>
        <x:v>-1038</x:v>
      </x:c>
      <x:c r="E35" s="3"/>
    </x:row>
    <x:row r="36" ht="21" customHeight="1">
      <x:c r="A36" s="3" t="str">
        <x:v>cash_conversion_fraction</x:v>
      </x:c>
      <x:c r="B36" s="3" t="str">
        <x:v>Low</x:v>
      </x:c>
      <x:c r="C36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D54*'Inputs'!D60+'Inputs'!D96)+'Inputs'!D78),"UNKNOWN")</x:f>
        <x:v>90942</x:v>
      </x:c>
      <x:c r="D36" s="22" t="n">
        <x:f>IF(AND(COUNT('Inputs'!D12,'Inputs'!D18,'Inputs'!D24,'Inputs'!D30,'Inputs'!D36,'Inputs'!D42,'Inputs'!D48,'Inputs'!D54,'Inputs'!D60,'Inputs'!D66,'Inputs'!D72,'Inputs'!D78,'Inputs'!D84,'Inputs'!D90,'Inputs'!D96,'Inputs'!C102)=16,ISNUMBER('Inputs'!$B$5),'Inputs'!$B$5&gt;0,INT('Inputs'!$B$5)='Inputs'!$B$5),('Inputs'!$B$5*('Inputs'!D12*'Inputs'!D18*('Inputs'!D24-'Inputs'!D30-'Inputs'!D36-'Inputs'!D42*'Inputs'!D48)/60-'Inputs'!D84-'Inputs'!D90)-'Inputs'!D72)*'Inputs'!D66*'Inputs'!C102-('Inputs'!$B$5*('Inputs'!D12*'Inputs'!D18*'Inputs'!D54*'Inputs'!D60+'Inputs'!D96)+'Inputs'!D78),"UNKNOWN")</x:f>
        <x:v>-858</x:v>
      </x:c>
      <x:c r="E36" s="3"/>
    </x:row>
    <x:row r="37" ht="21" customHeight="1">
      <x:c r="A37" s="3" t="str">
        <x:v>cash_conversion_fraction</x:v>
      </x:c>
      <x:c r="B37" s="3" t="str">
        <x:v>High</x:v>
      </x:c>
      <x:c r="C37" s="22" t="n">
        <x:f>IF(AND(COUNT('Inputs'!D12,'Inputs'!D18,'Inputs'!D24,'Inputs'!D30,'Inputs'!D36,'Inputs'!D42,'Inputs'!D48,'Inputs'!D54,'Inputs'!D60,'Inputs'!D66,'Inputs'!D72,'Inputs'!D78,'Inputs'!D84,'Inputs'!D90,'Inputs'!D96)=15,ISNUMBER('Inputs'!$B$5),'Inputs'!$B$5&gt;0,INT('Inputs'!$B$5)='Inputs'!$B$5),('Inputs'!$B$5*('Inputs'!D12*'Inputs'!D18*('Inputs'!D24-'Inputs'!D30-'Inputs'!D36-'Inputs'!D42*'Inputs'!D48)/60-'Inputs'!D84-'Inputs'!D90)-'Inputs'!D72)*'Inputs'!D66-('Inputs'!$B$5*('Inputs'!D12*'Inputs'!D18*'Inputs'!D54*'Inputs'!D60+'Inputs'!D96)+'Inputs'!D78),"UNKNOWN")</x:f>
        <x:v>90942</x:v>
      </x:c>
      <x:c r="D37" s="22" t="n">
        <x:f>IF(AND(COUNT('Inputs'!D12,'Inputs'!D18,'Inputs'!D24,'Inputs'!D30,'Inputs'!D36,'Inputs'!D42,'Inputs'!D48,'Inputs'!D54,'Inputs'!D60,'Inputs'!D66,'Inputs'!D72,'Inputs'!D78,'Inputs'!D84,'Inputs'!D90,'Inputs'!D96,'Inputs'!E102)=16,ISNUMBER('Inputs'!$B$5),'Inputs'!$B$5&gt;0,INT('Inputs'!$B$5)='Inputs'!$B$5),('Inputs'!$B$5*('Inputs'!D12*'Inputs'!D18*('Inputs'!D24-'Inputs'!D30-'Inputs'!D36-'Inputs'!D42*'Inputs'!D48)/60-'Inputs'!D84-'Inputs'!D90)-'Inputs'!D72)*'Inputs'!D66*'Inputs'!E102-('Inputs'!$B$5*('Inputs'!D12*'Inputs'!D18*'Inputs'!D54*'Inputs'!D60+'Inputs'!D96)+'Inputs'!D78),"UNKNOWN")</x:f>
        <x:v>-858</x:v>
      </x:c>
      <x:c r="E37" s="3"/>
    </x:row>
    <x:row r="38" ht="21" customHeight="1">
      <x:c r="A38" s="3"/>
      <x:c r="B38" s="3"/>
      <x:c r="C38" s="3"/>
      <x:c r="D38" s="3"/>
      <x:c r="E38" s="3"/>
    </x:row>
    <x:row r="39" ht="21" customHeight="1">
      <x:c r="A39" s="3"/>
      <x:c r="B39" s="3"/>
      <x:c r="C39" s="3"/>
      <x:c r="D39" s="3"/>
      <x:c r="E39" s="3"/>
    </x:row>
    <x:row r="40" ht="21" customHeight="1">
      <x:c r="A40" s="3"/>
      <x:c r="B40" s="3"/>
      <x:c r="C40" s="3"/>
      <x:c r="D40" s="3"/>
      <x:c r="E40" s="3"/>
    </x:row>
    <x:row r="41" ht="21" customHeight="1">
      <x:c r="A41" s="3"/>
      <x:c r="B41" s="3"/>
      <x:c r="C41" s="3"/>
      <x:c r="D41" s="3"/>
      <x:c r="E41" s="3"/>
    </x:row>
  </x:sheetData>
  <x:conditionalFormatting sqref="A1:E41">
    <x:cfRule type="containsText" dxfId="1" priority="1" operator="containsText" text="UNKNOW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1" customHeight="1">
      <x:c r="A1" s="6" t="str">
        <x:v>Independent range endpoints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21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 ht="21" customHeight="1">
      <x:c r="A3" s="3" t="str">
        <x:v>Case selected</x:v>
      </x:c>
      <x:c r="B3" s="3" t="str">
        <x:f>'Economics'!B4</x:f>
        <x:v>SYN-ESS-DOCS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21" customHeight="1">
      <x:c r="A4" s="3" t="str">
        <x:v>32 endpoint combinations cover sign reversals in volume, adoption, rate and conversion. Not a forecast distribution.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48" customHeight="1">
      <x:c r="A5" s="11" t="str">
        <x:v>Corner</x:v>
      </x:c>
      <x:c r="B5" s="11" t="str">
        <x:v>monthly_tasks</x:v>
      </x:c>
      <x:c r="C5" s="11" t="str">
        <x:v>adoption_fraction</x:v>
      </x:c>
      <x:c r="D5" s="11" t="str">
        <x:v>baseline_minutes</x:v>
      </x:c>
      <x:c r="E5" s="11" t="str">
        <x:v>author_minutes</x:v>
      </x:c>
      <x:c r="F5" s="11" t="str">
        <x:v>checking_minutes</x:v>
      </x:c>
      <x:c r="G5" s="11" t="str">
        <x:v>rework_fraction</x:v>
      </x:c>
      <x:c r="H5" s="11" t="str">
        <x:v>rework_minutes</x:v>
      </x:c>
      <x:c r="I5" s="11" t="str">
        <x:v>attempts_per_task</x:v>
      </x:c>
      <x:c r="J5" s="11" t="str">
        <x:v>generation_cash_per_attempt</x:v>
      </x:c>
      <x:c r="K5" s="11" t="str">
        <x:v>loaded_hourly_rate</x:v>
      </x:c>
      <x:c r="L5" s="11" t="str">
        <x:v>integration_hours</x:v>
      </x:c>
      <x:c r="M5" s="11" t="str">
        <x:v>setup_cash</x:v>
      </x:c>
      <x:c r="N5" s="11" t="str">
        <x:v>support_hours</x:v>
      </x:c>
      <x:c r="O5" s="11" t="str">
        <x:v>maintenance_hours</x:v>
      </x:c>
      <x:c r="P5" s="11" t="str">
        <x:v>platform_cash</x:v>
      </x:c>
      <x:c r="Q5" s="11" t="str">
        <x:v>cash_conversion_fraction</x:v>
      </x:c>
      <x:c r="R5" s="11" t="str">
        <x:v>Economic net</x:v>
      </x:c>
      <x:c r="S5" s="11" t="str">
        <x:v>Cash conversion net</x:v>
      </x:c>
    </x:row>
    <x:row r="6" ht="21" customHeight="1">
      <x:c r="A6" s="3" t="n">
        <x:v>1</x:v>
      </x:c>
      <x:c r="B6" s="26" t="n">
        <x:f>IF(ISNUMBER('Inputs'!C12),'Inputs'!C12,"UNKNOWN")</x:f>
        <x:v>300</x:v>
      </x:c>
      <x:c r="C6" s="26" t="n">
        <x:f>IF(ISNUMBER('Inputs'!C18),'Inputs'!C18,"UNKNOWN")</x:f>
        <x:v>0.7</x:v>
      </x:c>
      <x:c r="D6" s="26" t="n">
        <x:f>IF(ISNUMBER('Inputs'!C24),'Inputs'!C24,"UNKNOWN")</x:f>
        <x:v>30</x:v>
      </x:c>
      <x:c r="E6" s="26" t="n">
        <x:f>IF(ISNUMBER('Inputs'!E30),'Inputs'!E30,"UNKNOWN")</x:f>
        <x:v>8</x:v>
      </x:c>
      <x:c r="F6" s="26" t="n">
        <x:f>IF(ISNUMBER('Inputs'!E36),'Inputs'!E36,"UNKNOWN")</x:f>
        <x:v>10</x:v>
      </x:c>
      <x:c r="G6" s="26" t="n">
        <x:f>IF(ISNUMBER('Inputs'!E42),'Inputs'!E42,"UNKNOWN")</x:f>
        <x:v>0.2</x:v>
      </x:c>
      <x:c r="H6" s="26" t="n">
        <x:f>IF(ISNUMBER('Inputs'!E48),'Inputs'!E48,"UNKNOWN")</x:f>
        <x:v>20</x:v>
      </x:c>
      <x:c r="I6" s="26" t="n">
        <x:f>IF(ISNUMBER('Inputs'!E54),'Inputs'!E54,"UNKNOWN")</x:f>
        <x:v>2</x:v>
      </x:c>
      <x:c r="J6" s="26" t="n">
        <x:f>IF(ISNUMBER('Inputs'!E60),'Inputs'!E60,"UNKNOWN")</x:f>
        <x:v>0.08</x:v>
      </x:c>
      <x:c r="K6" s="26" t="n">
        <x:f>IF(ISNUMBER('Inputs'!C66),'Inputs'!C66,"UNKNOWN")</x:f>
        <x:v>50</x:v>
      </x:c>
      <x:c r="L6" s="26" t="n">
        <x:f>IF(ISNUMBER('Inputs'!E72),'Inputs'!E72,"UNKNOWN")</x:f>
        <x:v>24</x:v>
      </x:c>
      <x:c r="M6" s="26" t="n">
        <x:f>IF(ISNUMBER('Inputs'!E78),'Inputs'!E78,"UNKNOWN")</x:f>
        <x:v>200</x:v>
      </x:c>
      <x:c r="N6" s="26" t="n">
        <x:f>IF(ISNUMBER('Inputs'!E84),'Inputs'!E84,"UNKNOWN")</x:f>
        <x:v>2</x:v>
      </x:c>
      <x:c r="O6" s="26" t="n">
        <x:f>IF(ISNUMBER('Inputs'!E90),'Inputs'!E90,"UNKNOWN")</x:f>
        <x:v>2</x:v>
      </x:c>
      <x:c r="P6" s="26" t="n">
        <x:f>IF(ISNUMBER('Inputs'!E96),'Inputs'!E96,"UNKNOWN")</x:f>
        <x:v>50</x:v>
      </x:c>
      <x:c r="Q6" s="26" t="n">
        <x:f>IF(ISNUMBER('Inputs'!C102),'Inputs'!C102,"UNKNOWN")</x:f>
        <x:v>0</x:v>
      </x:c>
      <x:c r="R6" s="22" t="n">
        <x:f>IF(AND(COUNT(B6,C6,D6,E6,F6,G6,H6,I6,J6,K6,L6,M6,N6,O6,P6)=15,ISNUMBER('Inputs'!$B$5),'Inputs'!$B$5&gt;0,INT('Inputs'!$B$5)='Inputs'!$B$5),('Inputs'!$B$5*(B6*C6*(D6-E6-F6-G6*H6)/60-N6-O6)-L6)*K6-('Inputs'!$B$5*(B6*C6*I6*J6+P6)+M6),"UNKNOWN")</x:f>
        <x:v>11996.8</x:v>
      </x:c>
      <x:c r="S6" s="22" t="n">
        <x:f>IF(AND(COUNT(B6,C6,D6,E6,F6,G6,H6,I6,J6,K6,L6,M6,N6,O6,P6,Q6)=16,ISNUMBER('Inputs'!$B$5),'Inputs'!$B$5&gt;0,INT('Inputs'!$B$5)='Inputs'!$B$5),('Inputs'!$B$5*(B6*C6*(D6-E6-F6-G6*H6)/60-N6-O6)-L6)*K6*Q6-('Inputs'!$B$5*(B6*C6*I6*J6+P6)+M6),"UNKNOWN")</x:f>
        <x:v>-1203.1999999999998</x:v>
      </x:c>
    </x:row>
    <x:row r="7" ht="21" customHeight="1">
      <x:c r="A7" s="3" t="n">
        <x:v>2</x:v>
      </x:c>
      <x:c r="B7" s="26" t="n">
        <x:f>IF(ISNUMBER('Inputs'!E12),'Inputs'!E12,"UNKNOWN")</x:f>
        <x:v>500</x:v>
      </x:c>
      <x:c r="C7" s="26" t="n">
        <x:f>IF(ISNUMBER('Inputs'!C18),'Inputs'!C18,"UNKNOWN")</x:f>
        <x:v>0.7</x:v>
      </x:c>
      <x:c r="D7" s="26" t="n">
        <x:f>IF(ISNUMBER('Inputs'!C24),'Inputs'!C24,"UNKNOWN")</x:f>
        <x:v>30</x:v>
      </x:c>
      <x:c r="E7" s="26" t="n">
        <x:f>IF(ISNUMBER('Inputs'!E30),'Inputs'!E30,"UNKNOWN")</x:f>
        <x:v>8</x:v>
      </x:c>
      <x:c r="F7" s="26" t="n">
        <x:f>IF(ISNUMBER('Inputs'!E36),'Inputs'!E36,"UNKNOWN")</x:f>
        <x:v>10</x:v>
      </x:c>
      <x:c r="G7" s="26" t="n">
        <x:f>IF(ISNUMBER('Inputs'!E42),'Inputs'!E42,"UNKNOWN")</x:f>
        <x:v>0.2</x:v>
      </x:c>
      <x:c r="H7" s="26" t="n">
        <x:f>IF(ISNUMBER('Inputs'!E48),'Inputs'!E48,"UNKNOWN")</x:f>
        <x:v>20</x:v>
      </x:c>
      <x:c r="I7" s="26" t="n">
        <x:f>IF(ISNUMBER('Inputs'!E54),'Inputs'!E54,"UNKNOWN")</x:f>
        <x:v>2</x:v>
      </x:c>
      <x:c r="J7" s="26" t="n">
        <x:f>IF(ISNUMBER('Inputs'!E60),'Inputs'!E60,"UNKNOWN")</x:f>
        <x:v>0.08</x:v>
      </x:c>
      <x:c r="K7" s="26" t="n">
        <x:f>IF(ISNUMBER('Inputs'!C66),'Inputs'!C66,"UNKNOWN")</x:f>
        <x:v>50</x:v>
      </x:c>
      <x:c r="L7" s="26" t="n">
        <x:f>IF(ISNUMBER('Inputs'!E72),'Inputs'!E72,"UNKNOWN")</x:f>
        <x:v>24</x:v>
      </x:c>
      <x:c r="M7" s="26" t="n">
        <x:f>IF(ISNUMBER('Inputs'!E78),'Inputs'!E78,"UNKNOWN")</x:f>
        <x:v>200</x:v>
      </x:c>
      <x:c r="N7" s="26" t="n">
        <x:f>IF(ISNUMBER('Inputs'!E84),'Inputs'!E84,"UNKNOWN")</x:f>
        <x:v>2</x:v>
      </x:c>
      <x:c r="O7" s="26" t="n">
        <x:f>IF(ISNUMBER('Inputs'!E90),'Inputs'!E90,"UNKNOWN")</x:f>
        <x:v>2</x:v>
      </x:c>
      <x:c r="P7" s="26" t="n">
        <x:f>IF(ISNUMBER('Inputs'!E96),'Inputs'!E96,"UNKNOWN")</x:f>
        <x:v>50</x:v>
      </x:c>
      <x:c r="Q7" s="26" t="n">
        <x:f>IF(ISNUMBER('Inputs'!C102),'Inputs'!C102,"UNKNOWN")</x:f>
        <x:v>0</x:v>
      </x:c>
      <x:c r="R7" s="22" t="n">
        <x:f>IF(AND(COUNT(B7,C7,D7,E7,F7,G7,H7,I7,J7,K7,L7,M7,N7,O7,P7)=15,ISNUMBER('Inputs'!$B$5),'Inputs'!$B$5&gt;0,INT('Inputs'!$B$5)='Inputs'!$B$5),('Inputs'!$B$5*(B7*C7*(D7-E7-F7-G7*H7)/60-N7-O7)-L7)*K7-('Inputs'!$B$5*(B7*C7*I7*J7+P7)+M7),"UNKNOWN")</x:f>
        <x:v>22928</x:v>
      </x:c>
      <x:c r="S7" s="22" t="n">
        <x:f>IF(AND(COUNT(B7,C7,D7,E7,F7,G7,H7,I7,J7,K7,L7,M7,N7,O7,P7,Q7)=16,ISNUMBER('Inputs'!$B$5),'Inputs'!$B$5&gt;0,INT('Inputs'!$B$5)='Inputs'!$B$5),('Inputs'!$B$5*(B7*C7*(D7-E7-F7-G7*H7)/60-N7-O7)-L7)*K7*Q7-('Inputs'!$B$5*(B7*C7*I7*J7+P7)+M7),"UNKNOWN")</x:f>
        <x:v>-1472</x:v>
      </x:c>
    </x:row>
    <x:row r="8" ht="21" customHeight="1">
      <x:c r="A8" s="3" t="n">
        <x:v>3</x:v>
      </x:c>
      <x:c r="B8" s="26" t="n">
        <x:f>IF(ISNUMBER('Inputs'!C12),'Inputs'!C12,"UNKNOWN")</x:f>
        <x:v>300</x:v>
      </x:c>
      <x:c r="C8" s="26" t="n">
        <x:f>IF(ISNUMBER('Inputs'!E18),'Inputs'!E18,"UNKNOWN")</x:f>
        <x:v>0.9</x:v>
      </x:c>
      <x:c r="D8" s="26" t="n">
        <x:f>IF(ISNUMBER('Inputs'!C24),'Inputs'!C24,"UNKNOWN")</x:f>
        <x:v>30</x:v>
      </x:c>
      <x:c r="E8" s="26" t="n">
        <x:f>IF(ISNUMBER('Inputs'!E30),'Inputs'!E30,"UNKNOWN")</x:f>
        <x:v>8</x:v>
      </x:c>
      <x:c r="F8" s="26" t="n">
        <x:f>IF(ISNUMBER('Inputs'!E36),'Inputs'!E36,"UNKNOWN")</x:f>
        <x:v>10</x:v>
      </x:c>
      <x:c r="G8" s="26" t="n">
        <x:f>IF(ISNUMBER('Inputs'!E42),'Inputs'!E42,"UNKNOWN")</x:f>
        <x:v>0.2</x:v>
      </x:c>
      <x:c r="H8" s="26" t="n">
        <x:f>IF(ISNUMBER('Inputs'!E48),'Inputs'!E48,"UNKNOWN")</x:f>
        <x:v>20</x:v>
      </x:c>
      <x:c r="I8" s="26" t="n">
        <x:f>IF(ISNUMBER('Inputs'!E54),'Inputs'!E54,"UNKNOWN")</x:f>
        <x:v>2</x:v>
      </x:c>
      <x:c r="J8" s="26" t="n">
        <x:f>IF(ISNUMBER('Inputs'!E60),'Inputs'!E60,"UNKNOWN")</x:f>
        <x:v>0.08</x:v>
      </x:c>
      <x:c r="K8" s="26" t="n">
        <x:f>IF(ISNUMBER('Inputs'!C66),'Inputs'!C66,"UNKNOWN")</x:f>
        <x:v>50</x:v>
      </x:c>
      <x:c r="L8" s="26" t="n">
        <x:f>IF(ISNUMBER('Inputs'!E72),'Inputs'!E72,"UNKNOWN")</x:f>
        <x:v>24</x:v>
      </x:c>
      <x:c r="M8" s="26" t="n">
        <x:f>IF(ISNUMBER('Inputs'!E78),'Inputs'!E78,"UNKNOWN")</x:f>
        <x:v>200</x:v>
      </x:c>
      <x:c r="N8" s="26" t="n">
        <x:f>IF(ISNUMBER('Inputs'!E84),'Inputs'!E84,"UNKNOWN")</x:f>
        <x:v>2</x:v>
      </x:c>
      <x:c r="O8" s="26" t="n">
        <x:f>IF(ISNUMBER('Inputs'!E90),'Inputs'!E90,"UNKNOWN")</x:f>
        <x:v>2</x:v>
      </x:c>
      <x:c r="P8" s="26" t="n">
        <x:f>IF(ISNUMBER('Inputs'!E96),'Inputs'!E96,"UNKNOWN")</x:f>
        <x:v>50</x:v>
      </x:c>
      <x:c r="Q8" s="26" t="n">
        <x:f>IF(ISNUMBER('Inputs'!C102),'Inputs'!C102,"UNKNOWN")</x:f>
        <x:v>0</x:v>
      </x:c>
      <x:c r="R8" s="22" t="n">
        <x:f>IF(AND(COUNT(B8,C8,D8,E8,F8,G8,H8,I8,J8,K8,L8,M8,N8,O8,P8)=15,ISNUMBER('Inputs'!$B$5),'Inputs'!$B$5&gt;0,INT('Inputs'!$B$5)='Inputs'!$B$5),('Inputs'!$B$5*(B8*C8*(D8-E8-F8-G8*H8)/60-N8-O8)-L8)*K8-('Inputs'!$B$5*(B8*C8*I8*J8+P8)+M8),"UNKNOWN")</x:f>
        <x:v>16681.6</x:v>
      </x:c>
      <x:c r="S8" s="22" t="n">
        <x:f>IF(AND(COUNT(B8,C8,D8,E8,F8,G8,H8,I8,J8,K8,L8,M8,N8,O8,P8,Q8)=16,ISNUMBER('Inputs'!$B$5),'Inputs'!$B$5&gt;0,INT('Inputs'!$B$5)='Inputs'!$B$5),('Inputs'!$B$5*(B8*C8*(D8-E8-F8-G8*H8)/60-N8-O8)-L8)*K8*Q8-('Inputs'!$B$5*(B8*C8*I8*J8+P8)+M8),"UNKNOWN")</x:f>
        <x:v>-1318.4</x:v>
      </x:c>
    </x:row>
    <x:row r="9" ht="21" customHeight="1">
      <x:c r="A9" s="3" t="n">
        <x:v>4</x:v>
      </x:c>
      <x:c r="B9" s="26" t="n">
        <x:f>IF(ISNUMBER('Inputs'!E12),'Inputs'!E12,"UNKNOWN")</x:f>
        <x:v>500</x:v>
      </x:c>
      <x:c r="C9" s="26" t="n">
        <x:f>IF(ISNUMBER('Inputs'!E18),'Inputs'!E18,"UNKNOWN")</x:f>
        <x:v>0.9</x:v>
      </x:c>
      <x:c r="D9" s="26" t="n">
        <x:f>IF(ISNUMBER('Inputs'!C24),'Inputs'!C24,"UNKNOWN")</x:f>
        <x:v>30</x:v>
      </x:c>
      <x:c r="E9" s="26" t="n">
        <x:f>IF(ISNUMBER('Inputs'!E30),'Inputs'!E30,"UNKNOWN")</x:f>
        <x:v>8</x:v>
      </x:c>
      <x:c r="F9" s="26" t="n">
        <x:f>IF(ISNUMBER('Inputs'!E36),'Inputs'!E36,"UNKNOWN")</x:f>
        <x:v>10</x:v>
      </x:c>
      <x:c r="G9" s="26" t="n">
        <x:f>IF(ISNUMBER('Inputs'!E42),'Inputs'!E42,"UNKNOWN")</x:f>
        <x:v>0.2</x:v>
      </x:c>
      <x:c r="H9" s="26" t="n">
        <x:f>IF(ISNUMBER('Inputs'!E48),'Inputs'!E48,"UNKNOWN")</x:f>
        <x:v>20</x:v>
      </x:c>
      <x:c r="I9" s="26" t="n">
        <x:f>IF(ISNUMBER('Inputs'!E54),'Inputs'!E54,"UNKNOWN")</x:f>
        <x:v>2</x:v>
      </x:c>
      <x:c r="J9" s="26" t="n">
        <x:f>IF(ISNUMBER('Inputs'!E60),'Inputs'!E60,"UNKNOWN")</x:f>
        <x:v>0.08</x:v>
      </x:c>
      <x:c r="K9" s="26" t="n">
        <x:f>IF(ISNUMBER('Inputs'!C66),'Inputs'!C66,"UNKNOWN")</x:f>
        <x:v>50</x:v>
      </x:c>
      <x:c r="L9" s="26" t="n">
        <x:f>IF(ISNUMBER('Inputs'!E72),'Inputs'!E72,"UNKNOWN")</x:f>
        <x:v>24</x:v>
      </x:c>
      <x:c r="M9" s="26" t="n">
        <x:f>IF(ISNUMBER('Inputs'!E78),'Inputs'!E78,"UNKNOWN")</x:f>
        <x:v>200</x:v>
      </x:c>
      <x:c r="N9" s="26" t="n">
        <x:f>IF(ISNUMBER('Inputs'!E84),'Inputs'!E84,"UNKNOWN")</x:f>
        <x:v>2</x:v>
      </x:c>
      <x:c r="O9" s="26" t="n">
        <x:f>IF(ISNUMBER('Inputs'!E90),'Inputs'!E90,"UNKNOWN")</x:f>
        <x:v>2</x:v>
      </x:c>
      <x:c r="P9" s="26" t="n">
        <x:f>IF(ISNUMBER('Inputs'!E96),'Inputs'!E96,"UNKNOWN")</x:f>
        <x:v>50</x:v>
      </x:c>
      <x:c r="Q9" s="26" t="n">
        <x:f>IF(ISNUMBER('Inputs'!C102),'Inputs'!C102,"UNKNOWN")</x:f>
        <x:v>0</x:v>
      </x:c>
      <x:c r="R9" s="22" t="n">
        <x:f>IF(AND(COUNT(B9,C9,D9,E9,F9,G9,H9,I9,J9,K9,L9,M9,N9,O9,P9)=15,ISNUMBER('Inputs'!$B$5),'Inputs'!$B$5&gt;0,INT('Inputs'!$B$5)='Inputs'!$B$5),('Inputs'!$B$5*(B9*C9*(D9-E9-F9-G9*H9)/60-N9-O9)-L9)*K9-('Inputs'!$B$5*(B9*C9*I9*J9+P9)+M9),"UNKNOWN")</x:f>
        <x:v>30736</x:v>
      </x:c>
      <x:c r="S9" s="22" t="n">
        <x:f>IF(AND(COUNT(B9,C9,D9,E9,F9,G9,H9,I9,J9,K9,L9,M9,N9,O9,P9,Q9)=16,ISNUMBER('Inputs'!$B$5),'Inputs'!$B$5&gt;0,INT('Inputs'!$B$5)='Inputs'!$B$5),('Inputs'!$B$5*(B9*C9*(D9-E9-F9-G9*H9)/60-N9-O9)-L9)*K9*Q9-('Inputs'!$B$5*(B9*C9*I9*J9+P9)+M9),"UNKNOWN")</x:f>
        <x:v>-1664</x:v>
      </x:c>
    </x:row>
    <x:row r="10" ht="21" customHeight="1">
      <x:c r="A10" s="3" t="n">
        <x:v>5</x:v>
      </x:c>
      <x:c r="B10" s="26" t="n">
        <x:f>IF(ISNUMBER('Inputs'!C12),'Inputs'!C12,"UNKNOWN")</x:f>
        <x:v>300</x:v>
      </x:c>
      <x:c r="C10" s="26" t="n">
        <x:f>IF(ISNUMBER('Inputs'!C18),'Inputs'!C18,"UNKNOWN")</x:f>
        <x:v>0.7</x:v>
      </x:c>
      <x:c r="D10" s="26" t="n">
        <x:f>IF(ISNUMBER('Inputs'!C24),'Inputs'!C24,"UNKNOWN")</x:f>
        <x:v>30</x:v>
      </x:c>
      <x:c r="E10" s="26" t="n">
        <x:f>IF(ISNUMBER('Inputs'!E30),'Inputs'!E30,"UNKNOWN")</x:f>
        <x:v>8</x:v>
      </x:c>
      <x:c r="F10" s="26" t="n">
        <x:f>IF(ISNUMBER('Inputs'!E36),'Inputs'!E36,"UNKNOWN")</x:f>
        <x:v>10</x:v>
      </x:c>
      <x:c r="G10" s="26" t="n">
        <x:f>IF(ISNUMBER('Inputs'!E42),'Inputs'!E42,"UNKNOWN")</x:f>
        <x:v>0.2</x:v>
      </x:c>
      <x:c r="H10" s="26" t="n">
        <x:f>IF(ISNUMBER('Inputs'!E48),'Inputs'!E48,"UNKNOWN")</x:f>
        <x:v>20</x:v>
      </x:c>
      <x:c r="I10" s="26" t="n">
        <x:f>IF(ISNUMBER('Inputs'!E54),'Inputs'!E54,"UNKNOWN")</x:f>
        <x:v>2</x:v>
      </x:c>
      <x:c r="J10" s="26" t="n">
        <x:f>IF(ISNUMBER('Inputs'!E60),'Inputs'!E60,"UNKNOWN")</x:f>
        <x:v>0.08</x:v>
      </x:c>
      <x:c r="K10" s="26" t="n">
        <x:f>IF(ISNUMBER('Inputs'!E66),'Inputs'!E66,"UNKNOWN")</x:f>
        <x:v>70</x:v>
      </x:c>
      <x:c r="L10" s="26" t="n">
        <x:f>IF(ISNUMBER('Inputs'!E72),'Inputs'!E72,"UNKNOWN")</x:f>
        <x:v>24</x:v>
      </x:c>
      <x:c r="M10" s="26" t="n">
        <x:f>IF(ISNUMBER('Inputs'!E78),'Inputs'!E78,"UNKNOWN")</x:f>
        <x:v>200</x:v>
      </x:c>
      <x:c r="N10" s="26" t="n">
        <x:f>IF(ISNUMBER('Inputs'!E84),'Inputs'!E84,"UNKNOWN")</x:f>
        <x:v>2</x:v>
      </x:c>
      <x:c r="O10" s="26" t="n">
        <x:f>IF(ISNUMBER('Inputs'!E90),'Inputs'!E90,"UNKNOWN")</x:f>
        <x:v>2</x:v>
      </x:c>
      <x:c r="P10" s="26" t="n">
        <x:f>IF(ISNUMBER('Inputs'!E96),'Inputs'!E96,"UNKNOWN")</x:f>
        <x:v>50</x:v>
      </x:c>
      <x:c r="Q10" s="26" t="n">
        <x:f>IF(ISNUMBER('Inputs'!C102),'Inputs'!C102,"UNKNOWN")</x:f>
        <x:v>0</x:v>
      </x:c>
      <x:c r="R10" s="22" t="n">
        <x:f>IF(AND(COUNT(B10,C10,D10,E10,F10,G10,H10,I10,J10,K10,L10,M10,N10,O10,P10)=15,ISNUMBER('Inputs'!$B$5),'Inputs'!$B$5&gt;0,INT('Inputs'!$B$5)='Inputs'!$B$5),('Inputs'!$B$5*(B10*C10*(D10-E10-F10-G10*H10)/60-N10-O10)-L10)*K10-('Inputs'!$B$5*(B10*C10*I10*J10+P10)+M10),"UNKNOWN")</x:f>
        <x:v>17276.8</x:v>
      </x:c>
      <x:c r="S10" s="22" t="n">
        <x:f>IF(AND(COUNT(B10,C10,D10,E10,F10,G10,H10,I10,J10,K10,L10,M10,N10,O10,P10,Q10)=16,ISNUMBER('Inputs'!$B$5),'Inputs'!$B$5&gt;0,INT('Inputs'!$B$5)='Inputs'!$B$5),('Inputs'!$B$5*(B10*C10*(D10-E10-F10-G10*H10)/60-N10-O10)-L10)*K10*Q10-('Inputs'!$B$5*(B10*C10*I10*J10+P10)+M10),"UNKNOWN")</x:f>
        <x:v>-1203.1999999999998</x:v>
      </x:c>
    </x:row>
    <x:row r="11" ht="21" customHeight="1">
      <x:c r="A11" s="3" t="n">
        <x:v>6</x:v>
      </x:c>
      <x:c r="B11" s="26" t="n">
        <x:f>IF(ISNUMBER('Inputs'!E12),'Inputs'!E12,"UNKNOWN")</x:f>
        <x:v>500</x:v>
      </x:c>
      <x:c r="C11" s="26" t="n">
        <x:f>IF(ISNUMBER('Inputs'!C18),'Inputs'!C18,"UNKNOWN")</x:f>
        <x:v>0.7</x:v>
      </x:c>
      <x:c r="D11" s="26" t="n">
        <x:f>IF(ISNUMBER('Inputs'!C24),'Inputs'!C24,"UNKNOWN")</x:f>
        <x:v>30</x:v>
      </x:c>
      <x:c r="E11" s="26" t="n">
        <x:f>IF(ISNUMBER('Inputs'!E30),'Inputs'!E30,"UNKNOWN")</x:f>
        <x:v>8</x:v>
      </x:c>
      <x:c r="F11" s="26" t="n">
        <x:f>IF(ISNUMBER('Inputs'!E36),'Inputs'!E36,"UNKNOWN")</x:f>
        <x:v>10</x:v>
      </x:c>
      <x:c r="G11" s="26" t="n">
        <x:f>IF(ISNUMBER('Inputs'!E42),'Inputs'!E42,"UNKNOWN")</x:f>
        <x:v>0.2</x:v>
      </x:c>
      <x:c r="H11" s="26" t="n">
        <x:f>IF(ISNUMBER('Inputs'!E48),'Inputs'!E48,"UNKNOWN")</x:f>
        <x:v>20</x:v>
      </x:c>
      <x:c r="I11" s="26" t="n">
        <x:f>IF(ISNUMBER('Inputs'!E54),'Inputs'!E54,"UNKNOWN")</x:f>
        <x:v>2</x:v>
      </x:c>
      <x:c r="J11" s="26" t="n">
        <x:f>IF(ISNUMBER('Inputs'!E60),'Inputs'!E60,"UNKNOWN")</x:f>
        <x:v>0.08</x:v>
      </x:c>
      <x:c r="K11" s="26" t="n">
        <x:f>IF(ISNUMBER('Inputs'!E66),'Inputs'!E66,"UNKNOWN")</x:f>
        <x:v>70</x:v>
      </x:c>
      <x:c r="L11" s="26" t="n">
        <x:f>IF(ISNUMBER('Inputs'!E72),'Inputs'!E72,"UNKNOWN")</x:f>
        <x:v>24</x:v>
      </x:c>
      <x:c r="M11" s="26" t="n">
        <x:f>IF(ISNUMBER('Inputs'!E78),'Inputs'!E78,"UNKNOWN")</x:f>
        <x:v>200</x:v>
      </x:c>
      <x:c r="N11" s="26" t="n">
        <x:f>IF(ISNUMBER('Inputs'!E84),'Inputs'!E84,"UNKNOWN")</x:f>
        <x:v>2</x:v>
      </x:c>
      <x:c r="O11" s="26" t="n">
        <x:f>IF(ISNUMBER('Inputs'!E90),'Inputs'!E90,"UNKNOWN")</x:f>
        <x:v>2</x:v>
      </x:c>
      <x:c r="P11" s="26" t="n">
        <x:f>IF(ISNUMBER('Inputs'!E96),'Inputs'!E96,"UNKNOWN")</x:f>
        <x:v>50</x:v>
      </x:c>
      <x:c r="Q11" s="26" t="n">
        <x:f>IF(ISNUMBER('Inputs'!C102),'Inputs'!C102,"UNKNOWN")</x:f>
        <x:v>0</x:v>
      </x:c>
      <x:c r="R11" s="22" t="n">
        <x:f>IF(AND(COUNT(B11,C11,D11,E11,F11,G11,H11,I11,J11,K11,L11,M11,N11,O11,P11)=15,ISNUMBER('Inputs'!$B$5),'Inputs'!$B$5&gt;0,INT('Inputs'!$B$5)='Inputs'!$B$5),('Inputs'!$B$5*(B11*C11*(D11-E11-F11-G11*H11)/60-N11-O11)-L11)*K11-('Inputs'!$B$5*(B11*C11*I11*J11+P11)+M11),"UNKNOWN")</x:f>
        <x:v>32688</x:v>
      </x:c>
      <x:c r="S11" s="22" t="n">
        <x:f>IF(AND(COUNT(B11,C11,D11,E11,F11,G11,H11,I11,J11,K11,L11,M11,N11,O11,P11,Q11)=16,ISNUMBER('Inputs'!$B$5),'Inputs'!$B$5&gt;0,INT('Inputs'!$B$5)='Inputs'!$B$5),('Inputs'!$B$5*(B11*C11*(D11-E11-F11-G11*H11)/60-N11-O11)-L11)*K11*Q11-('Inputs'!$B$5*(B11*C11*I11*J11+P11)+M11),"UNKNOWN")</x:f>
        <x:v>-1472</x:v>
      </x:c>
    </x:row>
    <x:row r="12" ht="21" customHeight="1">
      <x:c r="A12" s="3" t="n">
        <x:v>7</x:v>
      </x:c>
      <x:c r="B12" s="26" t="n">
        <x:f>IF(ISNUMBER('Inputs'!C12),'Inputs'!C12,"UNKNOWN")</x:f>
        <x:v>300</x:v>
      </x:c>
      <x:c r="C12" s="26" t="n">
        <x:f>IF(ISNUMBER('Inputs'!E18),'Inputs'!E18,"UNKNOWN")</x:f>
        <x:v>0.9</x:v>
      </x:c>
      <x:c r="D12" s="26" t="n">
        <x:f>IF(ISNUMBER('Inputs'!C24),'Inputs'!C24,"UNKNOWN")</x:f>
        <x:v>30</x:v>
      </x:c>
      <x:c r="E12" s="26" t="n">
        <x:f>IF(ISNUMBER('Inputs'!E30),'Inputs'!E30,"UNKNOWN")</x:f>
        <x:v>8</x:v>
      </x:c>
      <x:c r="F12" s="26" t="n">
        <x:f>IF(ISNUMBER('Inputs'!E36),'Inputs'!E36,"UNKNOWN")</x:f>
        <x:v>10</x:v>
      </x:c>
      <x:c r="G12" s="26" t="n">
        <x:f>IF(ISNUMBER('Inputs'!E42),'Inputs'!E42,"UNKNOWN")</x:f>
        <x:v>0.2</x:v>
      </x:c>
      <x:c r="H12" s="26" t="n">
        <x:f>IF(ISNUMBER('Inputs'!E48),'Inputs'!E48,"UNKNOWN")</x:f>
        <x:v>20</x:v>
      </x:c>
      <x:c r="I12" s="26" t="n">
        <x:f>IF(ISNUMBER('Inputs'!E54),'Inputs'!E54,"UNKNOWN")</x:f>
        <x:v>2</x:v>
      </x:c>
      <x:c r="J12" s="26" t="n">
        <x:f>IF(ISNUMBER('Inputs'!E60),'Inputs'!E60,"UNKNOWN")</x:f>
        <x:v>0.08</x:v>
      </x:c>
      <x:c r="K12" s="26" t="n">
        <x:f>IF(ISNUMBER('Inputs'!E66),'Inputs'!E66,"UNKNOWN")</x:f>
        <x:v>70</x:v>
      </x:c>
      <x:c r="L12" s="26" t="n">
        <x:f>IF(ISNUMBER('Inputs'!E72),'Inputs'!E72,"UNKNOWN")</x:f>
        <x:v>24</x:v>
      </x:c>
      <x:c r="M12" s="26" t="n">
        <x:f>IF(ISNUMBER('Inputs'!E78),'Inputs'!E78,"UNKNOWN")</x:f>
        <x:v>200</x:v>
      </x:c>
      <x:c r="N12" s="26" t="n">
        <x:f>IF(ISNUMBER('Inputs'!E84),'Inputs'!E84,"UNKNOWN")</x:f>
        <x:v>2</x:v>
      </x:c>
      <x:c r="O12" s="26" t="n">
        <x:f>IF(ISNUMBER('Inputs'!E90),'Inputs'!E90,"UNKNOWN")</x:f>
        <x:v>2</x:v>
      </x:c>
      <x:c r="P12" s="26" t="n">
        <x:f>IF(ISNUMBER('Inputs'!E96),'Inputs'!E96,"UNKNOWN")</x:f>
        <x:v>50</x:v>
      </x:c>
      <x:c r="Q12" s="26" t="n">
        <x:f>IF(ISNUMBER('Inputs'!C102),'Inputs'!C102,"UNKNOWN")</x:f>
        <x:v>0</x:v>
      </x:c>
      <x:c r="R12" s="22" t="n">
        <x:f>IF(AND(COUNT(B12,C12,D12,E12,F12,G12,H12,I12,J12,K12,L12,M12,N12,O12,P12)=15,ISNUMBER('Inputs'!$B$5),'Inputs'!$B$5&gt;0,INT('Inputs'!$B$5)='Inputs'!$B$5),('Inputs'!$B$5*(B12*C12*(D12-E12-F12-G12*H12)/60-N12-O12)-L12)*K12-('Inputs'!$B$5*(B12*C12*I12*J12+P12)+M12),"UNKNOWN")</x:f>
        <x:v>23881.6</x:v>
      </x:c>
      <x:c r="S12" s="22" t="n">
        <x:f>IF(AND(COUNT(B12,C12,D12,E12,F12,G12,H12,I12,J12,K12,L12,M12,N12,O12,P12,Q12)=16,ISNUMBER('Inputs'!$B$5),'Inputs'!$B$5&gt;0,INT('Inputs'!$B$5)='Inputs'!$B$5),('Inputs'!$B$5*(B12*C12*(D12-E12-F12-G12*H12)/60-N12-O12)-L12)*K12*Q12-('Inputs'!$B$5*(B12*C12*I12*J12+P12)+M12),"UNKNOWN")</x:f>
        <x:v>-1318.4</x:v>
      </x:c>
    </x:row>
    <x:row r="13" ht="21" customHeight="1">
      <x:c r="A13" s="3" t="n">
        <x:v>8</x:v>
      </x:c>
      <x:c r="B13" s="26" t="n">
        <x:f>IF(ISNUMBER('Inputs'!E12),'Inputs'!E12,"UNKNOWN")</x:f>
        <x:v>500</x:v>
      </x:c>
      <x:c r="C13" s="26" t="n">
        <x:f>IF(ISNUMBER('Inputs'!E18),'Inputs'!E18,"UNKNOWN")</x:f>
        <x:v>0.9</x:v>
      </x:c>
      <x:c r="D13" s="26" t="n">
        <x:f>IF(ISNUMBER('Inputs'!C24),'Inputs'!C24,"UNKNOWN")</x:f>
        <x:v>30</x:v>
      </x:c>
      <x:c r="E13" s="26" t="n">
        <x:f>IF(ISNUMBER('Inputs'!E30),'Inputs'!E30,"UNKNOWN")</x:f>
        <x:v>8</x:v>
      </x:c>
      <x:c r="F13" s="26" t="n">
        <x:f>IF(ISNUMBER('Inputs'!E36),'Inputs'!E36,"UNKNOWN")</x:f>
        <x:v>10</x:v>
      </x:c>
      <x:c r="G13" s="26" t="n">
        <x:f>IF(ISNUMBER('Inputs'!E42),'Inputs'!E42,"UNKNOWN")</x:f>
        <x:v>0.2</x:v>
      </x:c>
      <x:c r="H13" s="26" t="n">
        <x:f>IF(ISNUMBER('Inputs'!E48),'Inputs'!E48,"UNKNOWN")</x:f>
        <x:v>20</x:v>
      </x:c>
      <x:c r="I13" s="26" t="n">
        <x:f>IF(ISNUMBER('Inputs'!E54),'Inputs'!E54,"UNKNOWN")</x:f>
        <x:v>2</x:v>
      </x:c>
      <x:c r="J13" s="26" t="n">
        <x:f>IF(ISNUMBER('Inputs'!E60),'Inputs'!E60,"UNKNOWN")</x:f>
        <x:v>0.08</x:v>
      </x:c>
      <x:c r="K13" s="26" t="n">
        <x:f>IF(ISNUMBER('Inputs'!E66),'Inputs'!E66,"UNKNOWN")</x:f>
        <x:v>70</x:v>
      </x:c>
      <x:c r="L13" s="26" t="n">
        <x:f>IF(ISNUMBER('Inputs'!E72),'Inputs'!E72,"UNKNOWN")</x:f>
        <x:v>24</x:v>
      </x:c>
      <x:c r="M13" s="26" t="n">
        <x:f>IF(ISNUMBER('Inputs'!E78),'Inputs'!E78,"UNKNOWN")</x:f>
        <x:v>200</x:v>
      </x:c>
      <x:c r="N13" s="26" t="n">
        <x:f>IF(ISNUMBER('Inputs'!E84),'Inputs'!E84,"UNKNOWN")</x:f>
        <x:v>2</x:v>
      </x:c>
      <x:c r="O13" s="26" t="n">
        <x:f>IF(ISNUMBER('Inputs'!E90),'Inputs'!E90,"UNKNOWN")</x:f>
        <x:v>2</x:v>
      </x:c>
      <x:c r="P13" s="26" t="n">
        <x:f>IF(ISNUMBER('Inputs'!E96),'Inputs'!E96,"UNKNOWN")</x:f>
        <x:v>50</x:v>
      </x:c>
      <x:c r="Q13" s="26" t="n">
        <x:f>IF(ISNUMBER('Inputs'!C102),'Inputs'!C102,"UNKNOWN")</x:f>
        <x:v>0</x:v>
      </x:c>
      <x:c r="R13" s="22" t="n">
        <x:f>IF(AND(COUNT(B13,C13,D13,E13,F13,G13,H13,I13,J13,K13,L13,M13,N13,O13,P13)=15,ISNUMBER('Inputs'!$B$5),'Inputs'!$B$5&gt;0,INT('Inputs'!$B$5)='Inputs'!$B$5),('Inputs'!$B$5*(B13*C13*(D13-E13-F13-G13*H13)/60-N13-O13)-L13)*K13-('Inputs'!$B$5*(B13*C13*I13*J13+P13)+M13),"UNKNOWN")</x:f>
        <x:v>43696</x:v>
      </x:c>
      <x:c r="S13" s="22" t="n">
        <x:f>IF(AND(COUNT(B13,C13,D13,E13,F13,G13,H13,I13,J13,K13,L13,M13,N13,O13,P13,Q13)=16,ISNUMBER('Inputs'!$B$5),'Inputs'!$B$5&gt;0,INT('Inputs'!$B$5)='Inputs'!$B$5),('Inputs'!$B$5*(B13*C13*(D13-E13-F13-G13*H13)/60-N13-O13)-L13)*K13*Q13-('Inputs'!$B$5*(B13*C13*I13*J13+P13)+M13),"UNKNOWN")</x:f>
        <x:v>-1664</x:v>
      </x:c>
    </x:row>
    <x:row r="14" ht="21" customHeight="1">
      <x:c r="A14" s="3" t="n">
        <x:v>9</x:v>
      </x:c>
      <x:c r="B14" s="26" t="n">
        <x:f>IF(ISNUMBER('Inputs'!C12),'Inputs'!C12,"UNKNOWN")</x:f>
        <x:v>300</x:v>
      </x:c>
      <x:c r="C14" s="26" t="n">
        <x:f>IF(ISNUMBER('Inputs'!C18),'Inputs'!C18,"UNKNOWN")</x:f>
        <x:v>0.7</x:v>
      </x:c>
      <x:c r="D14" s="26" t="n">
        <x:f>IF(ISNUMBER('Inputs'!C24),'Inputs'!C24,"UNKNOWN")</x:f>
        <x:v>30</x:v>
      </x:c>
      <x:c r="E14" s="26" t="n">
        <x:f>IF(ISNUMBER('Inputs'!E30),'Inputs'!E30,"UNKNOWN")</x:f>
        <x:v>8</x:v>
      </x:c>
      <x:c r="F14" s="26" t="n">
        <x:f>IF(ISNUMBER('Inputs'!E36),'Inputs'!E36,"UNKNOWN")</x:f>
        <x:v>10</x:v>
      </x:c>
      <x:c r="G14" s="26" t="n">
        <x:f>IF(ISNUMBER('Inputs'!E42),'Inputs'!E42,"UNKNOWN")</x:f>
        <x:v>0.2</x:v>
      </x:c>
      <x:c r="H14" s="26" t="n">
        <x:f>IF(ISNUMBER('Inputs'!E48),'Inputs'!E48,"UNKNOWN")</x:f>
        <x:v>20</x:v>
      </x:c>
      <x:c r="I14" s="26" t="n">
        <x:f>IF(ISNUMBER('Inputs'!E54),'Inputs'!E54,"UNKNOWN")</x:f>
        <x:v>2</x:v>
      </x:c>
      <x:c r="J14" s="26" t="n">
        <x:f>IF(ISNUMBER('Inputs'!E60),'Inputs'!E60,"UNKNOWN")</x:f>
        <x:v>0.08</x:v>
      </x:c>
      <x:c r="K14" s="26" t="n">
        <x:f>IF(ISNUMBER('Inputs'!C66),'Inputs'!C66,"UNKNOWN")</x:f>
        <x:v>50</x:v>
      </x:c>
      <x:c r="L14" s="26" t="n">
        <x:f>IF(ISNUMBER('Inputs'!E72),'Inputs'!E72,"UNKNOWN")</x:f>
        <x:v>24</x:v>
      </x:c>
      <x:c r="M14" s="26" t="n">
        <x:f>IF(ISNUMBER('Inputs'!E78),'Inputs'!E78,"UNKNOWN")</x:f>
        <x:v>200</x:v>
      </x:c>
      <x:c r="N14" s="26" t="n">
        <x:f>IF(ISNUMBER('Inputs'!E84),'Inputs'!E84,"UNKNOWN")</x:f>
        <x:v>2</x:v>
      </x:c>
      <x:c r="O14" s="26" t="n">
        <x:f>IF(ISNUMBER('Inputs'!E90),'Inputs'!E90,"UNKNOWN")</x:f>
        <x:v>2</x:v>
      </x:c>
      <x:c r="P14" s="26" t="n">
        <x:f>IF(ISNUMBER('Inputs'!E96),'Inputs'!E96,"UNKNOWN")</x:f>
        <x:v>50</x:v>
      </x:c>
      <x:c r="Q14" s="26" t="n">
        <x:f>IF(ISNUMBER('Inputs'!E102),'Inputs'!E102,"UNKNOWN")</x:f>
        <x:v>0</x:v>
      </x:c>
      <x:c r="R14" s="22" t="n">
        <x:f>IF(AND(COUNT(B14,C14,D14,E14,F14,G14,H14,I14,J14,K14,L14,M14,N14,O14,P14)=15,ISNUMBER('Inputs'!$B$5),'Inputs'!$B$5&gt;0,INT('Inputs'!$B$5)='Inputs'!$B$5),('Inputs'!$B$5*(B14*C14*(D14-E14-F14-G14*H14)/60-N14-O14)-L14)*K14-('Inputs'!$B$5*(B14*C14*I14*J14+P14)+M14),"UNKNOWN")</x:f>
        <x:v>11996.8</x:v>
      </x:c>
      <x:c r="S14" s="22" t="n">
        <x:f>IF(AND(COUNT(B14,C14,D14,E14,F14,G14,H14,I14,J14,K14,L14,M14,N14,O14,P14,Q14)=16,ISNUMBER('Inputs'!$B$5),'Inputs'!$B$5&gt;0,INT('Inputs'!$B$5)='Inputs'!$B$5),('Inputs'!$B$5*(B14*C14*(D14-E14-F14-G14*H14)/60-N14-O14)-L14)*K14*Q14-('Inputs'!$B$5*(B14*C14*I14*J14+P14)+M14),"UNKNOWN")</x:f>
        <x:v>-1203.1999999999998</x:v>
      </x:c>
    </x:row>
    <x:row r="15" ht="21" customHeight="1">
      <x:c r="A15" s="3" t="n">
        <x:v>10</x:v>
      </x:c>
      <x:c r="B15" s="26" t="n">
        <x:f>IF(ISNUMBER('Inputs'!E12),'Inputs'!E12,"UNKNOWN")</x:f>
        <x:v>500</x:v>
      </x:c>
      <x:c r="C15" s="26" t="n">
        <x:f>IF(ISNUMBER('Inputs'!C18),'Inputs'!C18,"UNKNOWN")</x:f>
        <x:v>0.7</x:v>
      </x:c>
      <x:c r="D15" s="26" t="n">
        <x:f>IF(ISNUMBER('Inputs'!C24),'Inputs'!C24,"UNKNOWN")</x:f>
        <x:v>30</x:v>
      </x:c>
      <x:c r="E15" s="26" t="n">
        <x:f>IF(ISNUMBER('Inputs'!E30),'Inputs'!E30,"UNKNOWN")</x:f>
        <x:v>8</x:v>
      </x:c>
      <x:c r="F15" s="26" t="n">
        <x:f>IF(ISNUMBER('Inputs'!E36),'Inputs'!E36,"UNKNOWN")</x:f>
        <x:v>10</x:v>
      </x:c>
      <x:c r="G15" s="26" t="n">
        <x:f>IF(ISNUMBER('Inputs'!E42),'Inputs'!E42,"UNKNOWN")</x:f>
        <x:v>0.2</x:v>
      </x:c>
      <x:c r="H15" s="26" t="n">
        <x:f>IF(ISNUMBER('Inputs'!E48),'Inputs'!E48,"UNKNOWN")</x:f>
        <x:v>20</x:v>
      </x:c>
      <x:c r="I15" s="26" t="n">
        <x:f>IF(ISNUMBER('Inputs'!E54),'Inputs'!E54,"UNKNOWN")</x:f>
        <x:v>2</x:v>
      </x:c>
      <x:c r="J15" s="26" t="n">
        <x:f>IF(ISNUMBER('Inputs'!E60),'Inputs'!E60,"UNKNOWN")</x:f>
        <x:v>0.08</x:v>
      </x:c>
      <x:c r="K15" s="26" t="n">
        <x:f>IF(ISNUMBER('Inputs'!C66),'Inputs'!C66,"UNKNOWN")</x:f>
        <x:v>50</x:v>
      </x:c>
      <x:c r="L15" s="26" t="n">
        <x:f>IF(ISNUMBER('Inputs'!E72),'Inputs'!E72,"UNKNOWN")</x:f>
        <x:v>24</x:v>
      </x:c>
      <x:c r="M15" s="26" t="n">
        <x:f>IF(ISNUMBER('Inputs'!E78),'Inputs'!E78,"UNKNOWN")</x:f>
        <x:v>200</x:v>
      </x:c>
      <x:c r="N15" s="26" t="n">
        <x:f>IF(ISNUMBER('Inputs'!E84),'Inputs'!E84,"UNKNOWN")</x:f>
        <x:v>2</x:v>
      </x:c>
      <x:c r="O15" s="26" t="n">
        <x:f>IF(ISNUMBER('Inputs'!E90),'Inputs'!E90,"UNKNOWN")</x:f>
        <x:v>2</x:v>
      </x:c>
      <x:c r="P15" s="26" t="n">
        <x:f>IF(ISNUMBER('Inputs'!E96),'Inputs'!E96,"UNKNOWN")</x:f>
        <x:v>50</x:v>
      </x:c>
      <x:c r="Q15" s="26" t="n">
        <x:f>IF(ISNUMBER('Inputs'!E102),'Inputs'!E102,"UNKNOWN")</x:f>
        <x:v>0</x:v>
      </x:c>
      <x:c r="R15" s="22" t="n">
        <x:f>IF(AND(COUNT(B15,C15,D15,E15,F15,G15,H15,I15,J15,K15,L15,M15,N15,O15,P15)=15,ISNUMBER('Inputs'!$B$5),'Inputs'!$B$5&gt;0,INT('Inputs'!$B$5)='Inputs'!$B$5),('Inputs'!$B$5*(B15*C15*(D15-E15-F15-G15*H15)/60-N15-O15)-L15)*K15-('Inputs'!$B$5*(B15*C15*I15*J15+P15)+M15),"UNKNOWN")</x:f>
        <x:v>22928</x:v>
      </x:c>
      <x:c r="S15" s="22" t="n">
        <x:f>IF(AND(COUNT(B15,C15,D15,E15,F15,G15,H15,I15,J15,K15,L15,M15,N15,O15,P15,Q15)=16,ISNUMBER('Inputs'!$B$5),'Inputs'!$B$5&gt;0,INT('Inputs'!$B$5)='Inputs'!$B$5),('Inputs'!$B$5*(B15*C15*(D15-E15-F15-G15*H15)/60-N15-O15)-L15)*K15*Q15-('Inputs'!$B$5*(B15*C15*I15*J15+P15)+M15),"UNKNOWN")</x:f>
        <x:v>-1472</x:v>
      </x:c>
    </x:row>
    <x:row r="16" ht="21" customHeight="1">
      <x:c r="A16" s="3" t="n">
        <x:v>11</x:v>
      </x:c>
      <x:c r="B16" s="26" t="n">
        <x:f>IF(ISNUMBER('Inputs'!C12),'Inputs'!C12,"UNKNOWN")</x:f>
        <x:v>300</x:v>
      </x:c>
      <x:c r="C16" s="26" t="n">
        <x:f>IF(ISNUMBER('Inputs'!E18),'Inputs'!E18,"UNKNOWN")</x:f>
        <x:v>0.9</x:v>
      </x:c>
      <x:c r="D16" s="26" t="n">
        <x:f>IF(ISNUMBER('Inputs'!C24),'Inputs'!C24,"UNKNOWN")</x:f>
        <x:v>30</x:v>
      </x:c>
      <x:c r="E16" s="26" t="n">
        <x:f>IF(ISNUMBER('Inputs'!E30),'Inputs'!E30,"UNKNOWN")</x:f>
        <x:v>8</x:v>
      </x:c>
      <x:c r="F16" s="26" t="n">
        <x:f>IF(ISNUMBER('Inputs'!E36),'Inputs'!E36,"UNKNOWN")</x:f>
        <x:v>10</x:v>
      </x:c>
      <x:c r="G16" s="26" t="n">
        <x:f>IF(ISNUMBER('Inputs'!E42),'Inputs'!E42,"UNKNOWN")</x:f>
        <x:v>0.2</x:v>
      </x:c>
      <x:c r="H16" s="26" t="n">
        <x:f>IF(ISNUMBER('Inputs'!E48),'Inputs'!E48,"UNKNOWN")</x:f>
        <x:v>20</x:v>
      </x:c>
      <x:c r="I16" s="26" t="n">
        <x:f>IF(ISNUMBER('Inputs'!E54),'Inputs'!E54,"UNKNOWN")</x:f>
        <x:v>2</x:v>
      </x:c>
      <x:c r="J16" s="26" t="n">
        <x:f>IF(ISNUMBER('Inputs'!E60),'Inputs'!E60,"UNKNOWN")</x:f>
        <x:v>0.08</x:v>
      </x:c>
      <x:c r="K16" s="26" t="n">
        <x:f>IF(ISNUMBER('Inputs'!C66),'Inputs'!C66,"UNKNOWN")</x:f>
        <x:v>50</x:v>
      </x:c>
      <x:c r="L16" s="26" t="n">
        <x:f>IF(ISNUMBER('Inputs'!E72),'Inputs'!E72,"UNKNOWN")</x:f>
        <x:v>24</x:v>
      </x:c>
      <x:c r="M16" s="26" t="n">
        <x:f>IF(ISNUMBER('Inputs'!E78),'Inputs'!E78,"UNKNOWN")</x:f>
        <x:v>200</x:v>
      </x:c>
      <x:c r="N16" s="26" t="n">
        <x:f>IF(ISNUMBER('Inputs'!E84),'Inputs'!E84,"UNKNOWN")</x:f>
        <x:v>2</x:v>
      </x:c>
      <x:c r="O16" s="26" t="n">
        <x:f>IF(ISNUMBER('Inputs'!E90),'Inputs'!E90,"UNKNOWN")</x:f>
        <x:v>2</x:v>
      </x:c>
      <x:c r="P16" s="26" t="n">
        <x:f>IF(ISNUMBER('Inputs'!E96),'Inputs'!E96,"UNKNOWN")</x:f>
        <x:v>50</x:v>
      </x:c>
      <x:c r="Q16" s="26" t="n">
        <x:f>IF(ISNUMBER('Inputs'!E102),'Inputs'!E102,"UNKNOWN")</x:f>
        <x:v>0</x:v>
      </x:c>
      <x:c r="R16" s="22" t="n">
        <x:f>IF(AND(COUNT(B16,C16,D16,E16,F16,G16,H16,I16,J16,K16,L16,M16,N16,O16,P16)=15,ISNUMBER('Inputs'!$B$5),'Inputs'!$B$5&gt;0,INT('Inputs'!$B$5)='Inputs'!$B$5),('Inputs'!$B$5*(B16*C16*(D16-E16-F16-G16*H16)/60-N16-O16)-L16)*K16-('Inputs'!$B$5*(B16*C16*I16*J16+P16)+M16),"UNKNOWN")</x:f>
        <x:v>16681.6</x:v>
      </x:c>
      <x:c r="S16" s="22" t="n">
        <x:f>IF(AND(COUNT(B16,C16,D16,E16,F16,G16,H16,I16,J16,K16,L16,M16,N16,O16,P16,Q16)=16,ISNUMBER('Inputs'!$B$5),'Inputs'!$B$5&gt;0,INT('Inputs'!$B$5)='Inputs'!$B$5),('Inputs'!$B$5*(B16*C16*(D16-E16-F16-G16*H16)/60-N16-O16)-L16)*K16*Q16-('Inputs'!$B$5*(B16*C16*I16*J16+P16)+M16),"UNKNOWN")</x:f>
        <x:v>-1318.4</x:v>
      </x:c>
    </x:row>
    <x:row r="17" ht="21" customHeight="1">
      <x:c r="A17" s="3" t="n">
        <x:v>12</x:v>
      </x:c>
      <x:c r="B17" s="26" t="n">
        <x:f>IF(ISNUMBER('Inputs'!E12),'Inputs'!E12,"UNKNOWN")</x:f>
        <x:v>500</x:v>
      </x:c>
      <x:c r="C17" s="26" t="n">
        <x:f>IF(ISNUMBER('Inputs'!E18),'Inputs'!E18,"UNKNOWN")</x:f>
        <x:v>0.9</x:v>
      </x:c>
      <x:c r="D17" s="26" t="n">
        <x:f>IF(ISNUMBER('Inputs'!C24),'Inputs'!C24,"UNKNOWN")</x:f>
        <x:v>30</x:v>
      </x:c>
      <x:c r="E17" s="26" t="n">
        <x:f>IF(ISNUMBER('Inputs'!E30),'Inputs'!E30,"UNKNOWN")</x:f>
        <x:v>8</x:v>
      </x:c>
      <x:c r="F17" s="26" t="n">
        <x:f>IF(ISNUMBER('Inputs'!E36),'Inputs'!E36,"UNKNOWN")</x:f>
        <x:v>10</x:v>
      </x:c>
      <x:c r="G17" s="26" t="n">
        <x:f>IF(ISNUMBER('Inputs'!E42),'Inputs'!E42,"UNKNOWN")</x:f>
        <x:v>0.2</x:v>
      </x:c>
      <x:c r="H17" s="26" t="n">
        <x:f>IF(ISNUMBER('Inputs'!E48),'Inputs'!E48,"UNKNOWN")</x:f>
        <x:v>20</x:v>
      </x:c>
      <x:c r="I17" s="26" t="n">
        <x:f>IF(ISNUMBER('Inputs'!E54),'Inputs'!E54,"UNKNOWN")</x:f>
        <x:v>2</x:v>
      </x:c>
      <x:c r="J17" s="26" t="n">
        <x:f>IF(ISNUMBER('Inputs'!E60),'Inputs'!E60,"UNKNOWN")</x:f>
        <x:v>0.08</x:v>
      </x:c>
      <x:c r="K17" s="26" t="n">
        <x:f>IF(ISNUMBER('Inputs'!C66),'Inputs'!C66,"UNKNOWN")</x:f>
        <x:v>50</x:v>
      </x:c>
      <x:c r="L17" s="26" t="n">
        <x:f>IF(ISNUMBER('Inputs'!E72),'Inputs'!E72,"UNKNOWN")</x:f>
        <x:v>24</x:v>
      </x:c>
      <x:c r="M17" s="26" t="n">
        <x:f>IF(ISNUMBER('Inputs'!E78),'Inputs'!E78,"UNKNOWN")</x:f>
        <x:v>200</x:v>
      </x:c>
      <x:c r="N17" s="26" t="n">
        <x:f>IF(ISNUMBER('Inputs'!E84),'Inputs'!E84,"UNKNOWN")</x:f>
        <x:v>2</x:v>
      </x:c>
      <x:c r="O17" s="26" t="n">
        <x:f>IF(ISNUMBER('Inputs'!E90),'Inputs'!E90,"UNKNOWN")</x:f>
        <x:v>2</x:v>
      </x:c>
      <x:c r="P17" s="26" t="n">
        <x:f>IF(ISNUMBER('Inputs'!E96),'Inputs'!E96,"UNKNOWN")</x:f>
        <x:v>50</x:v>
      </x:c>
      <x:c r="Q17" s="26" t="n">
        <x:f>IF(ISNUMBER('Inputs'!E102),'Inputs'!E102,"UNKNOWN")</x:f>
        <x:v>0</x:v>
      </x:c>
      <x:c r="R17" s="22" t="n">
        <x:f>IF(AND(COUNT(B17,C17,D17,E17,F17,G17,H17,I17,J17,K17,L17,M17,N17,O17,P17)=15,ISNUMBER('Inputs'!$B$5),'Inputs'!$B$5&gt;0,INT('Inputs'!$B$5)='Inputs'!$B$5),('Inputs'!$B$5*(B17*C17*(D17-E17-F17-G17*H17)/60-N17-O17)-L17)*K17-('Inputs'!$B$5*(B17*C17*I17*J17+P17)+M17),"UNKNOWN")</x:f>
        <x:v>30736</x:v>
      </x:c>
      <x:c r="S17" s="22" t="n">
        <x:f>IF(AND(COUNT(B17,C17,D17,E17,F17,G17,H17,I17,J17,K17,L17,M17,N17,O17,P17,Q17)=16,ISNUMBER('Inputs'!$B$5),'Inputs'!$B$5&gt;0,INT('Inputs'!$B$5)='Inputs'!$B$5),('Inputs'!$B$5*(B17*C17*(D17-E17-F17-G17*H17)/60-N17-O17)-L17)*K17*Q17-('Inputs'!$B$5*(B17*C17*I17*J17+P17)+M17),"UNKNOWN")</x:f>
        <x:v>-1664</x:v>
      </x:c>
    </x:row>
    <x:row r="18" ht="21" customHeight="1">
      <x:c r="A18" s="3" t="n">
        <x:v>13</x:v>
      </x:c>
      <x:c r="B18" s="26" t="n">
        <x:f>IF(ISNUMBER('Inputs'!C12),'Inputs'!C12,"UNKNOWN")</x:f>
        <x:v>300</x:v>
      </x:c>
      <x:c r="C18" s="26" t="n">
        <x:f>IF(ISNUMBER('Inputs'!C18),'Inputs'!C18,"UNKNOWN")</x:f>
        <x:v>0.7</x:v>
      </x:c>
      <x:c r="D18" s="26" t="n">
        <x:f>IF(ISNUMBER('Inputs'!C24),'Inputs'!C24,"UNKNOWN")</x:f>
        <x:v>30</x:v>
      </x:c>
      <x:c r="E18" s="26" t="n">
        <x:f>IF(ISNUMBER('Inputs'!E30),'Inputs'!E30,"UNKNOWN")</x:f>
        <x:v>8</x:v>
      </x:c>
      <x:c r="F18" s="26" t="n">
        <x:f>IF(ISNUMBER('Inputs'!E36),'Inputs'!E36,"UNKNOWN")</x:f>
        <x:v>10</x:v>
      </x:c>
      <x:c r="G18" s="26" t="n">
        <x:f>IF(ISNUMBER('Inputs'!E42),'Inputs'!E42,"UNKNOWN")</x:f>
        <x:v>0.2</x:v>
      </x:c>
      <x:c r="H18" s="26" t="n">
        <x:f>IF(ISNUMBER('Inputs'!E48),'Inputs'!E48,"UNKNOWN")</x:f>
        <x:v>20</x:v>
      </x:c>
      <x:c r="I18" s="26" t="n">
        <x:f>IF(ISNUMBER('Inputs'!E54),'Inputs'!E54,"UNKNOWN")</x:f>
        <x:v>2</x:v>
      </x:c>
      <x:c r="J18" s="26" t="n">
        <x:f>IF(ISNUMBER('Inputs'!E60),'Inputs'!E60,"UNKNOWN")</x:f>
        <x:v>0.08</x:v>
      </x:c>
      <x:c r="K18" s="26" t="n">
        <x:f>IF(ISNUMBER('Inputs'!E66),'Inputs'!E66,"UNKNOWN")</x:f>
        <x:v>70</x:v>
      </x:c>
      <x:c r="L18" s="26" t="n">
        <x:f>IF(ISNUMBER('Inputs'!E72),'Inputs'!E72,"UNKNOWN")</x:f>
        <x:v>24</x:v>
      </x:c>
      <x:c r="M18" s="26" t="n">
        <x:f>IF(ISNUMBER('Inputs'!E78),'Inputs'!E78,"UNKNOWN")</x:f>
        <x:v>200</x:v>
      </x:c>
      <x:c r="N18" s="26" t="n">
        <x:f>IF(ISNUMBER('Inputs'!E84),'Inputs'!E84,"UNKNOWN")</x:f>
        <x:v>2</x:v>
      </x:c>
      <x:c r="O18" s="26" t="n">
        <x:f>IF(ISNUMBER('Inputs'!E90),'Inputs'!E90,"UNKNOWN")</x:f>
        <x:v>2</x:v>
      </x:c>
      <x:c r="P18" s="26" t="n">
        <x:f>IF(ISNUMBER('Inputs'!E96),'Inputs'!E96,"UNKNOWN")</x:f>
        <x:v>50</x:v>
      </x:c>
      <x:c r="Q18" s="26" t="n">
        <x:f>IF(ISNUMBER('Inputs'!E102),'Inputs'!E102,"UNKNOWN")</x:f>
        <x:v>0</x:v>
      </x:c>
      <x:c r="R18" s="22" t="n">
        <x:f>IF(AND(COUNT(B18,C18,D18,E18,F18,G18,H18,I18,J18,K18,L18,M18,N18,O18,P18)=15,ISNUMBER('Inputs'!$B$5),'Inputs'!$B$5&gt;0,INT('Inputs'!$B$5)='Inputs'!$B$5),('Inputs'!$B$5*(B18*C18*(D18-E18-F18-G18*H18)/60-N18-O18)-L18)*K18-('Inputs'!$B$5*(B18*C18*I18*J18+P18)+M18),"UNKNOWN")</x:f>
        <x:v>17276.8</x:v>
      </x:c>
      <x:c r="S18" s="22" t="n">
        <x:f>IF(AND(COUNT(B18,C18,D18,E18,F18,G18,H18,I18,J18,K18,L18,M18,N18,O18,P18,Q18)=16,ISNUMBER('Inputs'!$B$5),'Inputs'!$B$5&gt;0,INT('Inputs'!$B$5)='Inputs'!$B$5),('Inputs'!$B$5*(B18*C18*(D18-E18-F18-G18*H18)/60-N18-O18)-L18)*K18*Q18-('Inputs'!$B$5*(B18*C18*I18*J18+P18)+M18),"UNKNOWN")</x:f>
        <x:v>-1203.1999999999998</x:v>
      </x:c>
    </x:row>
    <x:row r="19" ht="21" customHeight="1">
      <x:c r="A19" s="3" t="n">
        <x:v>14</x:v>
      </x:c>
      <x:c r="B19" s="26" t="n">
        <x:f>IF(ISNUMBER('Inputs'!E12),'Inputs'!E12,"UNKNOWN")</x:f>
        <x:v>500</x:v>
      </x:c>
      <x:c r="C19" s="26" t="n">
        <x:f>IF(ISNUMBER('Inputs'!C18),'Inputs'!C18,"UNKNOWN")</x:f>
        <x:v>0.7</x:v>
      </x:c>
      <x:c r="D19" s="26" t="n">
        <x:f>IF(ISNUMBER('Inputs'!C24),'Inputs'!C24,"UNKNOWN")</x:f>
        <x:v>30</x:v>
      </x:c>
      <x:c r="E19" s="26" t="n">
        <x:f>IF(ISNUMBER('Inputs'!E30),'Inputs'!E30,"UNKNOWN")</x:f>
        <x:v>8</x:v>
      </x:c>
      <x:c r="F19" s="26" t="n">
        <x:f>IF(ISNUMBER('Inputs'!E36),'Inputs'!E36,"UNKNOWN")</x:f>
        <x:v>10</x:v>
      </x:c>
      <x:c r="G19" s="26" t="n">
        <x:f>IF(ISNUMBER('Inputs'!E42),'Inputs'!E42,"UNKNOWN")</x:f>
        <x:v>0.2</x:v>
      </x:c>
      <x:c r="H19" s="26" t="n">
        <x:f>IF(ISNUMBER('Inputs'!E48),'Inputs'!E48,"UNKNOWN")</x:f>
        <x:v>20</x:v>
      </x:c>
      <x:c r="I19" s="26" t="n">
        <x:f>IF(ISNUMBER('Inputs'!E54),'Inputs'!E54,"UNKNOWN")</x:f>
        <x:v>2</x:v>
      </x:c>
      <x:c r="J19" s="26" t="n">
        <x:f>IF(ISNUMBER('Inputs'!E60),'Inputs'!E60,"UNKNOWN")</x:f>
        <x:v>0.08</x:v>
      </x:c>
      <x:c r="K19" s="26" t="n">
        <x:f>IF(ISNUMBER('Inputs'!E66),'Inputs'!E66,"UNKNOWN")</x:f>
        <x:v>70</x:v>
      </x:c>
      <x:c r="L19" s="26" t="n">
        <x:f>IF(ISNUMBER('Inputs'!E72),'Inputs'!E72,"UNKNOWN")</x:f>
        <x:v>24</x:v>
      </x:c>
      <x:c r="M19" s="26" t="n">
        <x:f>IF(ISNUMBER('Inputs'!E78),'Inputs'!E78,"UNKNOWN")</x:f>
        <x:v>200</x:v>
      </x:c>
      <x:c r="N19" s="26" t="n">
        <x:f>IF(ISNUMBER('Inputs'!E84),'Inputs'!E84,"UNKNOWN")</x:f>
        <x:v>2</x:v>
      </x:c>
      <x:c r="O19" s="26" t="n">
        <x:f>IF(ISNUMBER('Inputs'!E90),'Inputs'!E90,"UNKNOWN")</x:f>
        <x:v>2</x:v>
      </x:c>
      <x:c r="P19" s="26" t="n">
        <x:f>IF(ISNUMBER('Inputs'!E96),'Inputs'!E96,"UNKNOWN")</x:f>
        <x:v>50</x:v>
      </x:c>
      <x:c r="Q19" s="26" t="n">
        <x:f>IF(ISNUMBER('Inputs'!E102),'Inputs'!E102,"UNKNOWN")</x:f>
        <x:v>0</x:v>
      </x:c>
      <x:c r="R19" s="22" t="n">
        <x:f>IF(AND(COUNT(B19,C19,D19,E19,F19,G19,H19,I19,J19,K19,L19,M19,N19,O19,P19)=15,ISNUMBER('Inputs'!$B$5),'Inputs'!$B$5&gt;0,INT('Inputs'!$B$5)='Inputs'!$B$5),('Inputs'!$B$5*(B19*C19*(D19-E19-F19-G19*H19)/60-N19-O19)-L19)*K19-('Inputs'!$B$5*(B19*C19*I19*J19+P19)+M19),"UNKNOWN")</x:f>
        <x:v>32688</x:v>
      </x:c>
      <x:c r="S19" s="22" t="n">
        <x:f>IF(AND(COUNT(B19,C19,D19,E19,F19,G19,H19,I19,J19,K19,L19,M19,N19,O19,P19,Q19)=16,ISNUMBER('Inputs'!$B$5),'Inputs'!$B$5&gt;0,INT('Inputs'!$B$5)='Inputs'!$B$5),('Inputs'!$B$5*(B19*C19*(D19-E19-F19-G19*H19)/60-N19-O19)-L19)*K19*Q19-('Inputs'!$B$5*(B19*C19*I19*J19+P19)+M19),"UNKNOWN")</x:f>
        <x:v>-1472</x:v>
      </x:c>
    </x:row>
    <x:row r="20" ht="21" customHeight="1">
      <x:c r="A20" s="3" t="n">
        <x:v>15</x:v>
      </x:c>
      <x:c r="B20" s="26" t="n">
        <x:f>IF(ISNUMBER('Inputs'!C12),'Inputs'!C12,"UNKNOWN")</x:f>
        <x:v>300</x:v>
      </x:c>
      <x:c r="C20" s="26" t="n">
        <x:f>IF(ISNUMBER('Inputs'!E18),'Inputs'!E18,"UNKNOWN")</x:f>
        <x:v>0.9</x:v>
      </x:c>
      <x:c r="D20" s="26" t="n">
        <x:f>IF(ISNUMBER('Inputs'!C24),'Inputs'!C24,"UNKNOWN")</x:f>
        <x:v>30</x:v>
      </x:c>
      <x:c r="E20" s="26" t="n">
        <x:f>IF(ISNUMBER('Inputs'!E30),'Inputs'!E30,"UNKNOWN")</x:f>
        <x:v>8</x:v>
      </x:c>
      <x:c r="F20" s="26" t="n">
        <x:f>IF(ISNUMBER('Inputs'!E36),'Inputs'!E36,"UNKNOWN")</x:f>
        <x:v>10</x:v>
      </x:c>
      <x:c r="G20" s="26" t="n">
        <x:f>IF(ISNUMBER('Inputs'!E42),'Inputs'!E42,"UNKNOWN")</x:f>
        <x:v>0.2</x:v>
      </x:c>
      <x:c r="H20" s="26" t="n">
        <x:f>IF(ISNUMBER('Inputs'!E48),'Inputs'!E48,"UNKNOWN")</x:f>
        <x:v>20</x:v>
      </x:c>
      <x:c r="I20" s="26" t="n">
        <x:f>IF(ISNUMBER('Inputs'!E54),'Inputs'!E54,"UNKNOWN")</x:f>
        <x:v>2</x:v>
      </x:c>
      <x:c r="J20" s="26" t="n">
        <x:f>IF(ISNUMBER('Inputs'!E60),'Inputs'!E60,"UNKNOWN")</x:f>
        <x:v>0.08</x:v>
      </x:c>
      <x:c r="K20" s="26" t="n">
        <x:f>IF(ISNUMBER('Inputs'!E66),'Inputs'!E66,"UNKNOWN")</x:f>
        <x:v>70</x:v>
      </x:c>
      <x:c r="L20" s="26" t="n">
        <x:f>IF(ISNUMBER('Inputs'!E72),'Inputs'!E72,"UNKNOWN")</x:f>
        <x:v>24</x:v>
      </x:c>
      <x:c r="M20" s="26" t="n">
        <x:f>IF(ISNUMBER('Inputs'!E78),'Inputs'!E78,"UNKNOWN")</x:f>
        <x:v>200</x:v>
      </x:c>
      <x:c r="N20" s="26" t="n">
        <x:f>IF(ISNUMBER('Inputs'!E84),'Inputs'!E84,"UNKNOWN")</x:f>
        <x:v>2</x:v>
      </x:c>
      <x:c r="O20" s="26" t="n">
        <x:f>IF(ISNUMBER('Inputs'!E90),'Inputs'!E90,"UNKNOWN")</x:f>
        <x:v>2</x:v>
      </x:c>
      <x:c r="P20" s="26" t="n">
        <x:f>IF(ISNUMBER('Inputs'!E96),'Inputs'!E96,"UNKNOWN")</x:f>
        <x:v>50</x:v>
      </x:c>
      <x:c r="Q20" s="26" t="n">
        <x:f>IF(ISNUMBER('Inputs'!E102),'Inputs'!E102,"UNKNOWN")</x:f>
        <x:v>0</x:v>
      </x:c>
      <x:c r="R20" s="22" t="n">
        <x:f>IF(AND(COUNT(B20,C20,D20,E20,F20,G20,H20,I20,J20,K20,L20,M20,N20,O20,P20)=15,ISNUMBER('Inputs'!$B$5),'Inputs'!$B$5&gt;0,INT('Inputs'!$B$5)='Inputs'!$B$5),('Inputs'!$B$5*(B20*C20*(D20-E20-F20-G20*H20)/60-N20-O20)-L20)*K20-('Inputs'!$B$5*(B20*C20*I20*J20+P20)+M20),"UNKNOWN")</x:f>
        <x:v>23881.6</x:v>
      </x:c>
      <x:c r="S20" s="22" t="n">
        <x:f>IF(AND(COUNT(B20,C20,D20,E20,F20,G20,H20,I20,J20,K20,L20,M20,N20,O20,P20,Q20)=16,ISNUMBER('Inputs'!$B$5),'Inputs'!$B$5&gt;0,INT('Inputs'!$B$5)='Inputs'!$B$5),('Inputs'!$B$5*(B20*C20*(D20-E20-F20-G20*H20)/60-N20-O20)-L20)*K20*Q20-('Inputs'!$B$5*(B20*C20*I20*J20+P20)+M20),"UNKNOWN")</x:f>
        <x:v>-1318.4</x:v>
      </x:c>
    </x:row>
    <x:row r="21" ht="21" customHeight="1">
      <x:c r="A21" s="3" t="n">
        <x:v>16</x:v>
      </x:c>
      <x:c r="B21" s="26" t="n">
        <x:f>IF(ISNUMBER('Inputs'!E12),'Inputs'!E12,"UNKNOWN")</x:f>
        <x:v>500</x:v>
      </x:c>
      <x:c r="C21" s="26" t="n">
        <x:f>IF(ISNUMBER('Inputs'!E18),'Inputs'!E18,"UNKNOWN")</x:f>
        <x:v>0.9</x:v>
      </x:c>
      <x:c r="D21" s="26" t="n">
        <x:f>IF(ISNUMBER('Inputs'!C24),'Inputs'!C24,"UNKNOWN")</x:f>
        <x:v>30</x:v>
      </x:c>
      <x:c r="E21" s="26" t="n">
        <x:f>IF(ISNUMBER('Inputs'!E30),'Inputs'!E30,"UNKNOWN")</x:f>
        <x:v>8</x:v>
      </x:c>
      <x:c r="F21" s="26" t="n">
        <x:f>IF(ISNUMBER('Inputs'!E36),'Inputs'!E36,"UNKNOWN")</x:f>
        <x:v>10</x:v>
      </x:c>
      <x:c r="G21" s="26" t="n">
        <x:f>IF(ISNUMBER('Inputs'!E42),'Inputs'!E42,"UNKNOWN")</x:f>
        <x:v>0.2</x:v>
      </x:c>
      <x:c r="H21" s="26" t="n">
        <x:f>IF(ISNUMBER('Inputs'!E48),'Inputs'!E48,"UNKNOWN")</x:f>
        <x:v>20</x:v>
      </x:c>
      <x:c r="I21" s="26" t="n">
        <x:f>IF(ISNUMBER('Inputs'!E54),'Inputs'!E54,"UNKNOWN")</x:f>
        <x:v>2</x:v>
      </x:c>
      <x:c r="J21" s="26" t="n">
        <x:f>IF(ISNUMBER('Inputs'!E60),'Inputs'!E60,"UNKNOWN")</x:f>
        <x:v>0.08</x:v>
      </x:c>
      <x:c r="K21" s="26" t="n">
        <x:f>IF(ISNUMBER('Inputs'!E66),'Inputs'!E66,"UNKNOWN")</x:f>
        <x:v>70</x:v>
      </x:c>
      <x:c r="L21" s="26" t="n">
        <x:f>IF(ISNUMBER('Inputs'!E72),'Inputs'!E72,"UNKNOWN")</x:f>
        <x:v>24</x:v>
      </x:c>
      <x:c r="M21" s="26" t="n">
        <x:f>IF(ISNUMBER('Inputs'!E78),'Inputs'!E78,"UNKNOWN")</x:f>
        <x:v>200</x:v>
      </x:c>
      <x:c r="N21" s="26" t="n">
        <x:f>IF(ISNUMBER('Inputs'!E84),'Inputs'!E84,"UNKNOWN")</x:f>
        <x:v>2</x:v>
      </x:c>
      <x:c r="O21" s="26" t="n">
        <x:f>IF(ISNUMBER('Inputs'!E90),'Inputs'!E90,"UNKNOWN")</x:f>
        <x:v>2</x:v>
      </x:c>
      <x:c r="P21" s="26" t="n">
        <x:f>IF(ISNUMBER('Inputs'!E96),'Inputs'!E96,"UNKNOWN")</x:f>
        <x:v>50</x:v>
      </x:c>
      <x:c r="Q21" s="26" t="n">
        <x:f>IF(ISNUMBER('Inputs'!E102),'Inputs'!E102,"UNKNOWN")</x:f>
        <x:v>0</x:v>
      </x:c>
      <x:c r="R21" s="22" t="n">
        <x:f>IF(AND(COUNT(B21,C21,D21,E21,F21,G21,H21,I21,J21,K21,L21,M21,N21,O21,P21)=15,ISNUMBER('Inputs'!$B$5),'Inputs'!$B$5&gt;0,INT('Inputs'!$B$5)='Inputs'!$B$5),('Inputs'!$B$5*(B21*C21*(D21-E21-F21-G21*H21)/60-N21-O21)-L21)*K21-('Inputs'!$B$5*(B21*C21*I21*J21+P21)+M21),"UNKNOWN")</x:f>
        <x:v>43696</x:v>
      </x:c>
      <x:c r="S21" s="22" t="n">
        <x:f>IF(AND(COUNT(B21,C21,D21,E21,F21,G21,H21,I21,J21,K21,L21,M21,N21,O21,P21,Q21)=16,ISNUMBER('Inputs'!$B$5),'Inputs'!$B$5&gt;0,INT('Inputs'!$B$5)='Inputs'!$B$5),('Inputs'!$B$5*(B21*C21*(D21-E21-F21-G21*H21)/60-N21-O21)-L21)*K21*Q21-('Inputs'!$B$5*(B21*C21*I21*J21+P21)+M21),"UNKNOWN")</x:f>
        <x:v>-1664</x:v>
      </x:c>
    </x:row>
    <x:row r="22" ht="21" customHeight="1">
      <x:c r="A22" s="3" t="n">
        <x:v>17</x:v>
      </x:c>
      <x:c r="B22" s="26" t="n">
        <x:f>IF(ISNUMBER('Inputs'!C12),'Inputs'!C12,"UNKNOWN")</x:f>
        <x:v>300</x:v>
      </x:c>
      <x:c r="C22" s="26" t="n">
        <x:f>IF(ISNUMBER('Inputs'!C18),'Inputs'!C18,"UNKNOWN")</x:f>
        <x:v>0.7</x:v>
      </x:c>
      <x:c r="D22" s="26" t="n">
        <x:f>IF(ISNUMBER('Inputs'!E24),'Inputs'!E24,"UNKNOWN")</x:f>
        <x:v>50</x:v>
      </x:c>
      <x:c r="E22" s="26" t="n">
        <x:f>IF(ISNUMBER('Inputs'!C30),'Inputs'!C30,"UNKNOWN")</x:f>
        <x:v>5</x:v>
      </x:c>
      <x:c r="F22" s="26" t="n">
        <x:f>IF(ISNUMBER('Inputs'!C36),'Inputs'!C36,"UNKNOWN")</x:f>
        <x:v>5</x:v>
      </x:c>
      <x:c r="G22" s="26" t="n">
        <x:f>IF(ISNUMBER('Inputs'!C42),'Inputs'!C42,"UNKNOWN")</x:f>
        <x:v>0.1</x:v>
      </x:c>
      <x:c r="H22" s="26" t="n">
        <x:f>IF(ISNUMBER('Inputs'!C48),'Inputs'!C48,"UNKNOWN")</x:f>
        <x:v>10</x:v>
      </x:c>
      <x:c r="I22" s="26" t="n">
        <x:f>IF(ISNUMBER('Inputs'!C54),'Inputs'!C54,"UNKNOWN")</x:f>
        <x:v>1</x:v>
      </x:c>
      <x:c r="J22" s="26" t="n">
        <x:f>IF(ISNUMBER('Inputs'!C60),'Inputs'!C60,"UNKNOWN")</x:f>
        <x:v>0.03</x:v>
      </x:c>
      <x:c r="K22" s="26" t="n">
        <x:f>IF(ISNUMBER('Inputs'!C66),'Inputs'!C66,"UNKNOWN")</x:f>
        <x:v>50</x:v>
      </x:c>
      <x:c r="L22" s="26" t="n">
        <x:f>IF(ISNUMBER('Inputs'!C72),'Inputs'!C72,"UNKNOWN")</x:f>
        <x:v>12</x:v>
      </x:c>
      <x:c r="M22" s="26" t="n">
        <x:f>IF(ISNUMBER('Inputs'!C78),'Inputs'!C78,"UNKNOWN")</x:f>
        <x:v>100</x:v>
      </x:c>
      <x:c r="N22" s="26" t="n">
        <x:f>IF(ISNUMBER('Inputs'!C84),'Inputs'!C84,"UNKNOWN")</x:f>
        <x:v>1</x:v>
      </x:c>
      <x:c r="O22" s="26" t="n">
        <x:f>IF(ISNUMBER('Inputs'!C90),'Inputs'!C90,"UNKNOWN")</x:f>
        <x:v>1</x:v>
      </x:c>
      <x:c r="P22" s="26" t="n">
        <x:f>IF(ISNUMBER('Inputs'!C96),'Inputs'!C96,"UNKNOWN")</x:f>
        <x:v>20</x:v>
      </x:c>
      <x:c r="Q22" s="26" t="n">
        <x:f>IF(ISNUMBER('Inputs'!C102),'Inputs'!C102,"UNKNOWN")</x:f>
        <x:v>0</x:v>
      </x:c>
      <x:c r="R22" s="22" t="n">
        <x:f>IF(AND(COUNT(B22,C22,D22,E22,F22,G22,H22,I22,J22,K22,L22,M22,N22,O22,P22)=15,ISNUMBER('Inputs'!$B$5),'Inputs'!$B$5&gt;0,INT('Inputs'!$B$5)='Inputs'!$B$5),('Inputs'!$B$5*(B22*C22*(D22-E22-F22-G22*H22)/60-N22-O22)-L22)*K22-('Inputs'!$B$5*(B22*C22*I22*J22+P22)+M22),"UNKNOWN")</x:f>
        <x:v>79684.4</x:v>
      </x:c>
      <x:c r="S22" s="22" t="n">
        <x:f>IF(AND(COUNT(B22,C22,D22,E22,F22,G22,H22,I22,J22,K22,L22,M22,N22,O22,P22,Q22)=16,ISNUMBER('Inputs'!$B$5),'Inputs'!$B$5&gt;0,INT('Inputs'!$B$5)='Inputs'!$B$5),('Inputs'!$B$5*(B22*C22*(D22-E22-F22-G22*H22)/60-N22-O22)-L22)*K22*Q22-('Inputs'!$B$5*(B22*C22*I22*J22+P22)+M22),"UNKNOWN")</x:f>
        <x:v>-415.6</x:v>
      </x:c>
    </x:row>
    <x:row r="23" ht="21" customHeight="1">
      <x:c r="A23" s="3" t="n">
        <x:v>18</x:v>
      </x:c>
      <x:c r="B23" s="26" t="n">
        <x:f>IF(ISNUMBER('Inputs'!E12),'Inputs'!E12,"UNKNOWN")</x:f>
        <x:v>500</x:v>
      </x:c>
      <x:c r="C23" s="26" t="n">
        <x:f>IF(ISNUMBER('Inputs'!C18),'Inputs'!C18,"UNKNOWN")</x:f>
        <x:v>0.7</x:v>
      </x:c>
      <x:c r="D23" s="26" t="n">
        <x:f>IF(ISNUMBER('Inputs'!E24),'Inputs'!E24,"UNKNOWN")</x:f>
        <x:v>50</x:v>
      </x:c>
      <x:c r="E23" s="26" t="n">
        <x:f>IF(ISNUMBER('Inputs'!C30),'Inputs'!C30,"UNKNOWN")</x:f>
        <x:v>5</x:v>
      </x:c>
      <x:c r="F23" s="26" t="n">
        <x:f>IF(ISNUMBER('Inputs'!C36),'Inputs'!C36,"UNKNOWN")</x:f>
        <x:v>5</x:v>
      </x:c>
      <x:c r="G23" s="26" t="n">
        <x:f>IF(ISNUMBER('Inputs'!C42),'Inputs'!C42,"UNKNOWN")</x:f>
        <x:v>0.1</x:v>
      </x:c>
      <x:c r="H23" s="26" t="n">
        <x:f>IF(ISNUMBER('Inputs'!C48),'Inputs'!C48,"UNKNOWN")</x:f>
        <x:v>10</x:v>
      </x:c>
      <x:c r="I23" s="26" t="n">
        <x:f>IF(ISNUMBER('Inputs'!C54),'Inputs'!C54,"UNKNOWN")</x:f>
        <x:v>1</x:v>
      </x:c>
      <x:c r="J23" s="26" t="n">
        <x:f>IF(ISNUMBER('Inputs'!C60),'Inputs'!C60,"UNKNOWN")</x:f>
        <x:v>0.03</x:v>
      </x:c>
      <x:c r="K23" s="26" t="n">
        <x:f>IF(ISNUMBER('Inputs'!C66),'Inputs'!C66,"UNKNOWN")</x:f>
        <x:v>50</x:v>
      </x:c>
      <x:c r="L23" s="26" t="n">
        <x:f>IF(ISNUMBER('Inputs'!C72),'Inputs'!C72,"UNKNOWN")</x:f>
        <x:v>12</x:v>
      </x:c>
      <x:c r="M23" s="26" t="n">
        <x:f>IF(ISNUMBER('Inputs'!C78),'Inputs'!C78,"UNKNOWN")</x:f>
        <x:v>100</x:v>
      </x:c>
      <x:c r="N23" s="26" t="n">
        <x:f>IF(ISNUMBER('Inputs'!C84),'Inputs'!C84,"UNKNOWN")</x:f>
        <x:v>1</x:v>
      </x:c>
      <x:c r="O23" s="26" t="n">
        <x:f>IF(ISNUMBER('Inputs'!C90),'Inputs'!C90,"UNKNOWN")</x:f>
        <x:v>1</x:v>
      </x:c>
      <x:c r="P23" s="26" t="n">
        <x:f>IF(ISNUMBER('Inputs'!C96),'Inputs'!C96,"UNKNOWN")</x:f>
        <x:v>20</x:v>
      </x:c>
      <x:c r="Q23" s="26" t="n">
        <x:f>IF(ISNUMBER('Inputs'!C102),'Inputs'!C102,"UNKNOWN")</x:f>
        <x:v>0</x:v>
      </x:c>
      <x:c r="R23" s="22" t="n">
        <x:f>IF(AND(COUNT(B23,C23,D23,E23,F23,G23,H23,I23,J23,K23,L23,M23,N23,O23,P23)=15,ISNUMBER('Inputs'!$B$5),'Inputs'!$B$5&gt;0,INT('Inputs'!$B$5)='Inputs'!$B$5),('Inputs'!$B$5*(B23*C23*(D23-E23-F23-G23*H23)/60-N23-O23)-L23)*K23-('Inputs'!$B$5*(B23*C23*I23*J23+P23)+M23),"UNKNOWN")</x:f>
        <x:v>134234</x:v>
      </x:c>
      <x:c r="S23" s="22" t="n">
        <x:f>IF(AND(COUNT(B23,C23,D23,E23,F23,G23,H23,I23,J23,K23,L23,M23,N23,O23,P23,Q23)=16,ISNUMBER('Inputs'!$B$5),'Inputs'!$B$5&gt;0,INT('Inputs'!$B$5)='Inputs'!$B$5),('Inputs'!$B$5*(B23*C23*(D23-E23-F23-G23*H23)/60-N23-O23)-L23)*K23*Q23-('Inputs'!$B$5*(B23*C23*I23*J23+P23)+M23),"UNKNOWN")</x:f>
        <x:v>-466</x:v>
      </x:c>
    </x:row>
    <x:row r="24" ht="21" customHeight="1">
      <x:c r="A24" s="3" t="n">
        <x:v>19</x:v>
      </x:c>
      <x:c r="B24" s="26" t="n">
        <x:f>IF(ISNUMBER('Inputs'!C12),'Inputs'!C12,"UNKNOWN")</x:f>
        <x:v>300</x:v>
      </x:c>
      <x:c r="C24" s="26" t="n">
        <x:f>IF(ISNUMBER('Inputs'!E18),'Inputs'!E18,"UNKNOWN")</x:f>
        <x:v>0.9</x:v>
      </x:c>
      <x:c r="D24" s="26" t="n">
        <x:f>IF(ISNUMBER('Inputs'!E24),'Inputs'!E24,"UNKNOWN")</x:f>
        <x:v>50</x:v>
      </x:c>
      <x:c r="E24" s="26" t="n">
        <x:f>IF(ISNUMBER('Inputs'!C30),'Inputs'!C30,"UNKNOWN")</x:f>
        <x:v>5</x:v>
      </x:c>
      <x:c r="F24" s="26" t="n">
        <x:f>IF(ISNUMBER('Inputs'!C36),'Inputs'!C36,"UNKNOWN")</x:f>
        <x:v>5</x:v>
      </x:c>
      <x:c r="G24" s="26" t="n">
        <x:f>IF(ISNUMBER('Inputs'!C42),'Inputs'!C42,"UNKNOWN")</x:f>
        <x:v>0.1</x:v>
      </x:c>
      <x:c r="H24" s="26" t="n">
        <x:f>IF(ISNUMBER('Inputs'!C48),'Inputs'!C48,"UNKNOWN")</x:f>
        <x:v>10</x:v>
      </x:c>
      <x:c r="I24" s="26" t="n">
        <x:f>IF(ISNUMBER('Inputs'!C54),'Inputs'!C54,"UNKNOWN")</x:f>
        <x:v>1</x:v>
      </x:c>
      <x:c r="J24" s="26" t="n">
        <x:f>IF(ISNUMBER('Inputs'!C60),'Inputs'!C60,"UNKNOWN")</x:f>
        <x:v>0.03</x:v>
      </x:c>
      <x:c r="K24" s="26" t="n">
        <x:f>IF(ISNUMBER('Inputs'!C66),'Inputs'!C66,"UNKNOWN")</x:f>
        <x:v>50</x:v>
      </x:c>
      <x:c r="L24" s="26" t="n">
        <x:f>IF(ISNUMBER('Inputs'!C72),'Inputs'!C72,"UNKNOWN")</x:f>
        <x:v>12</x:v>
      </x:c>
      <x:c r="M24" s="26" t="n">
        <x:f>IF(ISNUMBER('Inputs'!C78),'Inputs'!C78,"UNKNOWN")</x:f>
        <x:v>100</x:v>
      </x:c>
      <x:c r="N24" s="26" t="n">
        <x:f>IF(ISNUMBER('Inputs'!C84),'Inputs'!C84,"UNKNOWN")</x:f>
        <x:v>1</x:v>
      </x:c>
      <x:c r="O24" s="26" t="n">
        <x:f>IF(ISNUMBER('Inputs'!C90),'Inputs'!C90,"UNKNOWN")</x:f>
        <x:v>1</x:v>
      </x:c>
      <x:c r="P24" s="26" t="n">
        <x:f>IF(ISNUMBER('Inputs'!C96),'Inputs'!C96,"UNKNOWN")</x:f>
        <x:v>20</x:v>
      </x:c>
      <x:c r="Q24" s="26" t="n">
        <x:f>IF(ISNUMBER('Inputs'!C102),'Inputs'!C102,"UNKNOWN")</x:f>
        <x:v>0</x:v>
      </x:c>
      <x:c r="R24" s="22" t="n">
        <x:f>IF(AND(COUNT(B24,C24,D24,E24,F24,G24,H24,I24,J24,K24,L24,M24,N24,O24,P24)=15,ISNUMBER('Inputs'!$B$5),'Inputs'!$B$5&gt;0,INT('Inputs'!$B$5)='Inputs'!$B$5),('Inputs'!$B$5*(B24*C24*(D24-E24-F24-G24*H24)/60-N24-O24)-L24)*K24-('Inputs'!$B$5*(B24*C24*I24*J24+P24)+M24),"UNKNOWN")</x:f>
        <x:v>103062.8</x:v>
      </x:c>
      <x:c r="S24" s="22" t="n">
        <x:f>IF(AND(COUNT(B24,C24,D24,E24,F24,G24,H24,I24,J24,K24,L24,M24,N24,O24,P24,Q24)=16,ISNUMBER('Inputs'!$B$5),'Inputs'!$B$5&gt;0,INT('Inputs'!$B$5)='Inputs'!$B$5),('Inputs'!$B$5*(B24*C24*(D24-E24-F24-G24*H24)/60-N24-O24)-L24)*K24*Q24-('Inputs'!$B$5*(B24*C24*I24*J24+P24)+M24),"UNKNOWN")</x:f>
        <x:v>-437.20000000000005</x:v>
      </x:c>
    </x:row>
    <x:row r="25" ht="21" customHeight="1">
      <x:c r="A25" s="3" t="n">
        <x:v>20</x:v>
      </x:c>
      <x:c r="B25" s="26" t="n">
        <x:f>IF(ISNUMBER('Inputs'!E12),'Inputs'!E12,"UNKNOWN")</x:f>
        <x:v>500</x:v>
      </x:c>
      <x:c r="C25" s="26" t="n">
        <x:f>IF(ISNUMBER('Inputs'!E18),'Inputs'!E18,"UNKNOWN")</x:f>
        <x:v>0.9</x:v>
      </x:c>
      <x:c r="D25" s="26" t="n">
        <x:f>IF(ISNUMBER('Inputs'!E24),'Inputs'!E24,"UNKNOWN")</x:f>
        <x:v>50</x:v>
      </x:c>
      <x:c r="E25" s="26" t="n">
        <x:f>IF(ISNUMBER('Inputs'!C30),'Inputs'!C30,"UNKNOWN")</x:f>
        <x:v>5</x:v>
      </x:c>
      <x:c r="F25" s="26" t="n">
        <x:f>IF(ISNUMBER('Inputs'!C36),'Inputs'!C36,"UNKNOWN")</x:f>
        <x:v>5</x:v>
      </x:c>
      <x:c r="G25" s="26" t="n">
        <x:f>IF(ISNUMBER('Inputs'!C42),'Inputs'!C42,"UNKNOWN")</x:f>
        <x:v>0.1</x:v>
      </x:c>
      <x:c r="H25" s="26" t="n">
        <x:f>IF(ISNUMBER('Inputs'!C48),'Inputs'!C48,"UNKNOWN")</x:f>
        <x:v>10</x:v>
      </x:c>
      <x:c r="I25" s="26" t="n">
        <x:f>IF(ISNUMBER('Inputs'!C54),'Inputs'!C54,"UNKNOWN")</x:f>
        <x:v>1</x:v>
      </x:c>
      <x:c r="J25" s="26" t="n">
        <x:f>IF(ISNUMBER('Inputs'!C60),'Inputs'!C60,"UNKNOWN")</x:f>
        <x:v>0.03</x:v>
      </x:c>
      <x:c r="K25" s="26" t="n">
        <x:f>IF(ISNUMBER('Inputs'!C66),'Inputs'!C66,"UNKNOWN")</x:f>
        <x:v>50</x:v>
      </x:c>
      <x:c r="L25" s="26" t="n">
        <x:f>IF(ISNUMBER('Inputs'!C72),'Inputs'!C72,"UNKNOWN")</x:f>
        <x:v>12</x:v>
      </x:c>
      <x:c r="M25" s="26" t="n">
        <x:f>IF(ISNUMBER('Inputs'!C78),'Inputs'!C78,"UNKNOWN")</x:f>
        <x:v>100</x:v>
      </x:c>
      <x:c r="N25" s="26" t="n">
        <x:f>IF(ISNUMBER('Inputs'!C84),'Inputs'!C84,"UNKNOWN")</x:f>
        <x:v>1</x:v>
      </x:c>
      <x:c r="O25" s="26" t="n">
        <x:f>IF(ISNUMBER('Inputs'!C90),'Inputs'!C90,"UNKNOWN")</x:f>
        <x:v>1</x:v>
      </x:c>
      <x:c r="P25" s="26" t="n">
        <x:f>IF(ISNUMBER('Inputs'!C96),'Inputs'!C96,"UNKNOWN")</x:f>
        <x:v>20</x:v>
      </x:c>
      <x:c r="Q25" s="26" t="n">
        <x:f>IF(ISNUMBER('Inputs'!C102),'Inputs'!C102,"UNKNOWN")</x:f>
        <x:v>0</x:v>
      </x:c>
      <x:c r="R25" s="22" t="n">
        <x:f>IF(AND(COUNT(B25,C25,D25,E25,F25,G25,H25,I25,J25,K25,L25,M25,N25,O25,P25)=15,ISNUMBER('Inputs'!$B$5),'Inputs'!$B$5&gt;0,INT('Inputs'!$B$5)='Inputs'!$B$5),('Inputs'!$B$5*(B25*C25*(D25-E25-F25-G25*H25)/60-N25-O25)-L25)*K25-('Inputs'!$B$5*(B25*C25*I25*J25+P25)+M25),"UNKNOWN")</x:f>
        <x:v>173198</x:v>
      </x:c>
      <x:c r="S25" s="22" t="n">
        <x:f>IF(AND(COUNT(B25,C25,D25,E25,F25,G25,H25,I25,J25,K25,L25,M25,N25,O25,P25,Q25)=16,ISNUMBER('Inputs'!$B$5),'Inputs'!$B$5&gt;0,INT('Inputs'!$B$5)='Inputs'!$B$5),('Inputs'!$B$5*(B25*C25*(D25-E25-F25-G25*H25)/60-N25-O25)-L25)*K25*Q25-('Inputs'!$B$5*(B25*C25*I25*J25+P25)+M25),"UNKNOWN")</x:f>
        <x:v>-502</x:v>
      </x:c>
    </x:row>
    <x:row r="26" ht="21" customHeight="1">
      <x:c r="A26" s="3" t="n">
        <x:v>21</x:v>
      </x:c>
      <x:c r="B26" s="26" t="n">
        <x:f>IF(ISNUMBER('Inputs'!C12),'Inputs'!C12,"UNKNOWN")</x:f>
        <x:v>300</x:v>
      </x:c>
      <x:c r="C26" s="26" t="n">
        <x:f>IF(ISNUMBER('Inputs'!C18),'Inputs'!C18,"UNKNOWN")</x:f>
        <x:v>0.7</x:v>
      </x:c>
      <x:c r="D26" s="26" t="n">
        <x:f>IF(ISNUMBER('Inputs'!E24),'Inputs'!E24,"UNKNOWN")</x:f>
        <x:v>50</x:v>
      </x:c>
      <x:c r="E26" s="26" t="n">
        <x:f>IF(ISNUMBER('Inputs'!C30),'Inputs'!C30,"UNKNOWN")</x:f>
        <x:v>5</x:v>
      </x:c>
      <x:c r="F26" s="26" t="n">
        <x:f>IF(ISNUMBER('Inputs'!C36),'Inputs'!C36,"UNKNOWN")</x:f>
        <x:v>5</x:v>
      </x:c>
      <x:c r="G26" s="26" t="n">
        <x:f>IF(ISNUMBER('Inputs'!C42),'Inputs'!C42,"UNKNOWN")</x:f>
        <x:v>0.1</x:v>
      </x:c>
      <x:c r="H26" s="26" t="n">
        <x:f>IF(ISNUMBER('Inputs'!C48),'Inputs'!C48,"UNKNOWN")</x:f>
        <x:v>10</x:v>
      </x:c>
      <x:c r="I26" s="26" t="n">
        <x:f>IF(ISNUMBER('Inputs'!C54),'Inputs'!C54,"UNKNOWN")</x:f>
        <x:v>1</x:v>
      </x:c>
      <x:c r="J26" s="26" t="n">
        <x:f>IF(ISNUMBER('Inputs'!C60),'Inputs'!C60,"UNKNOWN")</x:f>
        <x:v>0.03</x:v>
      </x:c>
      <x:c r="K26" s="26" t="n">
        <x:f>IF(ISNUMBER('Inputs'!E66),'Inputs'!E66,"UNKNOWN")</x:f>
        <x:v>70</x:v>
      </x:c>
      <x:c r="L26" s="26" t="n">
        <x:f>IF(ISNUMBER('Inputs'!C72),'Inputs'!C72,"UNKNOWN")</x:f>
        <x:v>12</x:v>
      </x:c>
      <x:c r="M26" s="26" t="n">
        <x:f>IF(ISNUMBER('Inputs'!C78),'Inputs'!C78,"UNKNOWN")</x:f>
        <x:v>100</x:v>
      </x:c>
      <x:c r="N26" s="26" t="n">
        <x:f>IF(ISNUMBER('Inputs'!C84),'Inputs'!C84,"UNKNOWN")</x:f>
        <x:v>1</x:v>
      </x:c>
      <x:c r="O26" s="26" t="n">
        <x:f>IF(ISNUMBER('Inputs'!C90),'Inputs'!C90,"UNKNOWN")</x:f>
        <x:v>1</x:v>
      </x:c>
      <x:c r="P26" s="26" t="n">
        <x:f>IF(ISNUMBER('Inputs'!C96),'Inputs'!C96,"UNKNOWN")</x:f>
        <x:v>20</x:v>
      </x:c>
      <x:c r="Q26" s="26" t="n">
        <x:f>IF(ISNUMBER('Inputs'!C102),'Inputs'!C102,"UNKNOWN")</x:f>
        <x:v>0</x:v>
      </x:c>
      <x:c r="R26" s="22" t="n">
        <x:f>IF(AND(COUNT(B26,C26,D26,E26,F26,G26,H26,I26,J26,K26,L26,M26,N26,O26,P26)=15,ISNUMBER('Inputs'!$B$5),'Inputs'!$B$5&gt;0,INT('Inputs'!$B$5)='Inputs'!$B$5),('Inputs'!$B$5*(B26*C26*(D26-E26-F26-G26*H26)/60-N26-O26)-L26)*K26-('Inputs'!$B$5*(B26*C26*I26*J26+P26)+M26),"UNKNOWN")</x:f>
        <x:v>111724.4</x:v>
      </x:c>
      <x:c r="S26" s="22" t="n">
        <x:f>IF(AND(COUNT(B26,C26,D26,E26,F26,G26,H26,I26,J26,K26,L26,M26,N26,O26,P26,Q26)=16,ISNUMBER('Inputs'!$B$5),'Inputs'!$B$5&gt;0,INT('Inputs'!$B$5)='Inputs'!$B$5),('Inputs'!$B$5*(B26*C26*(D26-E26-F26-G26*H26)/60-N26-O26)-L26)*K26*Q26-('Inputs'!$B$5*(B26*C26*I26*J26+P26)+M26),"UNKNOWN")</x:f>
        <x:v>-415.6</x:v>
      </x:c>
    </x:row>
    <x:row r="27" ht="21" customHeight="1">
      <x:c r="A27" s="3" t="n">
        <x:v>22</x:v>
      </x:c>
      <x:c r="B27" s="26" t="n">
        <x:f>IF(ISNUMBER('Inputs'!E12),'Inputs'!E12,"UNKNOWN")</x:f>
        <x:v>500</x:v>
      </x:c>
      <x:c r="C27" s="26" t="n">
        <x:f>IF(ISNUMBER('Inputs'!C18),'Inputs'!C18,"UNKNOWN")</x:f>
        <x:v>0.7</x:v>
      </x:c>
      <x:c r="D27" s="26" t="n">
        <x:f>IF(ISNUMBER('Inputs'!E24),'Inputs'!E24,"UNKNOWN")</x:f>
        <x:v>50</x:v>
      </x:c>
      <x:c r="E27" s="26" t="n">
        <x:f>IF(ISNUMBER('Inputs'!C30),'Inputs'!C30,"UNKNOWN")</x:f>
        <x:v>5</x:v>
      </x:c>
      <x:c r="F27" s="26" t="n">
        <x:f>IF(ISNUMBER('Inputs'!C36),'Inputs'!C36,"UNKNOWN")</x:f>
        <x:v>5</x:v>
      </x:c>
      <x:c r="G27" s="26" t="n">
        <x:f>IF(ISNUMBER('Inputs'!C42),'Inputs'!C42,"UNKNOWN")</x:f>
        <x:v>0.1</x:v>
      </x:c>
      <x:c r="H27" s="26" t="n">
        <x:f>IF(ISNUMBER('Inputs'!C48),'Inputs'!C48,"UNKNOWN")</x:f>
        <x:v>10</x:v>
      </x:c>
      <x:c r="I27" s="26" t="n">
        <x:f>IF(ISNUMBER('Inputs'!C54),'Inputs'!C54,"UNKNOWN")</x:f>
        <x:v>1</x:v>
      </x:c>
      <x:c r="J27" s="26" t="n">
        <x:f>IF(ISNUMBER('Inputs'!C60),'Inputs'!C60,"UNKNOWN")</x:f>
        <x:v>0.03</x:v>
      </x:c>
      <x:c r="K27" s="26" t="n">
        <x:f>IF(ISNUMBER('Inputs'!E66),'Inputs'!E66,"UNKNOWN")</x:f>
        <x:v>70</x:v>
      </x:c>
      <x:c r="L27" s="26" t="n">
        <x:f>IF(ISNUMBER('Inputs'!C72),'Inputs'!C72,"UNKNOWN")</x:f>
        <x:v>12</x:v>
      </x:c>
      <x:c r="M27" s="26" t="n">
        <x:f>IF(ISNUMBER('Inputs'!C78),'Inputs'!C78,"UNKNOWN")</x:f>
        <x:v>100</x:v>
      </x:c>
      <x:c r="N27" s="26" t="n">
        <x:f>IF(ISNUMBER('Inputs'!C84),'Inputs'!C84,"UNKNOWN")</x:f>
        <x:v>1</x:v>
      </x:c>
      <x:c r="O27" s="26" t="n">
        <x:f>IF(ISNUMBER('Inputs'!C90),'Inputs'!C90,"UNKNOWN")</x:f>
        <x:v>1</x:v>
      </x:c>
      <x:c r="P27" s="26" t="n">
        <x:f>IF(ISNUMBER('Inputs'!C96),'Inputs'!C96,"UNKNOWN")</x:f>
        <x:v>20</x:v>
      </x:c>
      <x:c r="Q27" s="26" t="n">
        <x:f>IF(ISNUMBER('Inputs'!C102),'Inputs'!C102,"UNKNOWN")</x:f>
        <x:v>0</x:v>
      </x:c>
      <x:c r="R27" s="22" t="n">
        <x:f>IF(AND(COUNT(B27,C27,D27,E27,F27,G27,H27,I27,J27,K27,L27,M27,N27,O27,P27)=15,ISNUMBER('Inputs'!$B$5),'Inputs'!$B$5&gt;0,INT('Inputs'!$B$5)='Inputs'!$B$5),('Inputs'!$B$5*(B27*C27*(D27-E27-F27-G27*H27)/60-N27-O27)-L27)*K27-('Inputs'!$B$5*(B27*C27*I27*J27+P27)+M27),"UNKNOWN")</x:f>
        <x:v>188114</x:v>
      </x:c>
      <x:c r="S27" s="22" t="n">
        <x:f>IF(AND(COUNT(B27,C27,D27,E27,F27,G27,H27,I27,J27,K27,L27,M27,N27,O27,P27,Q27)=16,ISNUMBER('Inputs'!$B$5),'Inputs'!$B$5&gt;0,INT('Inputs'!$B$5)='Inputs'!$B$5),('Inputs'!$B$5*(B27*C27*(D27-E27-F27-G27*H27)/60-N27-O27)-L27)*K27*Q27-('Inputs'!$B$5*(B27*C27*I27*J27+P27)+M27),"UNKNOWN")</x:f>
        <x:v>-466</x:v>
      </x:c>
    </x:row>
    <x:row r="28" ht="21" customHeight="1">
      <x:c r="A28" s="3" t="n">
        <x:v>23</x:v>
      </x:c>
      <x:c r="B28" s="26" t="n">
        <x:f>IF(ISNUMBER('Inputs'!C12),'Inputs'!C12,"UNKNOWN")</x:f>
        <x:v>300</x:v>
      </x:c>
      <x:c r="C28" s="26" t="n">
        <x:f>IF(ISNUMBER('Inputs'!E18),'Inputs'!E18,"UNKNOWN")</x:f>
        <x:v>0.9</x:v>
      </x:c>
      <x:c r="D28" s="26" t="n">
        <x:f>IF(ISNUMBER('Inputs'!E24),'Inputs'!E24,"UNKNOWN")</x:f>
        <x:v>50</x:v>
      </x:c>
      <x:c r="E28" s="26" t="n">
        <x:f>IF(ISNUMBER('Inputs'!C30),'Inputs'!C30,"UNKNOWN")</x:f>
        <x:v>5</x:v>
      </x:c>
      <x:c r="F28" s="26" t="n">
        <x:f>IF(ISNUMBER('Inputs'!C36),'Inputs'!C36,"UNKNOWN")</x:f>
        <x:v>5</x:v>
      </x:c>
      <x:c r="G28" s="26" t="n">
        <x:f>IF(ISNUMBER('Inputs'!C42),'Inputs'!C42,"UNKNOWN")</x:f>
        <x:v>0.1</x:v>
      </x:c>
      <x:c r="H28" s="26" t="n">
        <x:f>IF(ISNUMBER('Inputs'!C48),'Inputs'!C48,"UNKNOWN")</x:f>
        <x:v>10</x:v>
      </x:c>
      <x:c r="I28" s="26" t="n">
        <x:f>IF(ISNUMBER('Inputs'!C54),'Inputs'!C54,"UNKNOWN")</x:f>
        <x:v>1</x:v>
      </x:c>
      <x:c r="J28" s="26" t="n">
        <x:f>IF(ISNUMBER('Inputs'!C60),'Inputs'!C60,"UNKNOWN")</x:f>
        <x:v>0.03</x:v>
      </x:c>
      <x:c r="K28" s="26" t="n">
        <x:f>IF(ISNUMBER('Inputs'!E66),'Inputs'!E66,"UNKNOWN")</x:f>
        <x:v>70</x:v>
      </x:c>
      <x:c r="L28" s="26" t="n">
        <x:f>IF(ISNUMBER('Inputs'!C72),'Inputs'!C72,"UNKNOWN")</x:f>
        <x:v>12</x:v>
      </x:c>
      <x:c r="M28" s="26" t="n">
        <x:f>IF(ISNUMBER('Inputs'!C78),'Inputs'!C78,"UNKNOWN")</x:f>
        <x:v>100</x:v>
      </x:c>
      <x:c r="N28" s="26" t="n">
        <x:f>IF(ISNUMBER('Inputs'!C84),'Inputs'!C84,"UNKNOWN")</x:f>
        <x:v>1</x:v>
      </x:c>
      <x:c r="O28" s="26" t="n">
        <x:f>IF(ISNUMBER('Inputs'!C90),'Inputs'!C90,"UNKNOWN")</x:f>
        <x:v>1</x:v>
      </x:c>
      <x:c r="P28" s="26" t="n">
        <x:f>IF(ISNUMBER('Inputs'!C96),'Inputs'!C96,"UNKNOWN")</x:f>
        <x:v>20</x:v>
      </x:c>
      <x:c r="Q28" s="26" t="n">
        <x:f>IF(ISNUMBER('Inputs'!C102),'Inputs'!C102,"UNKNOWN")</x:f>
        <x:v>0</x:v>
      </x:c>
      <x:c r="R28" s="22" t="n">
        <x:f>IF(AND(COUNT(B28,C28,D28,E28,F28,G28,H28,I28,J28,K28,L28,M28,N28,O28,P28)=15,ISNUMBER('Inputs'!$B$5),'Inputs'!$B$5&gt;0,INT('Inputs'!$B$5)='Inputs'!$B$5),('Inputs'!$B$5*(B28*C28*(D28-E28-F28-G28*H28)/60-N28-O28)-L28)*K28-('Inputs'!$B$5*(B28*C28*I28*J28+P28)+M28),"UNKNOWN")</x:f>
        <x:v>144462.8</x:v>
      </x:c>
      <x:c r="S28" s="22" t="n">
        <x:f>IF(AND(COUNT(B28,C28,D28,E28,F28,G28,H28,I28,J28,K28,L28,M28,N28,O28,P28,Q28)=16,ISNUMBER('Inputs'!$B$5),'Inputs'!$B$5&gt;0,INT('Inputs'!$B$5)='Inputs'!$B$5),('Inputs'!$B$5*(B28*C28*(D28-E28-F28-G28*H28)/60-N28-O28)-L28)*K28*Q28-('Inputs'!$B$5*(B28*C28*I28*J28+P28)+M28),"UNKNOWN")</x:f>
        <x:v>-437.20000000000005</x:v>
      </x:c>
    </x:row>
    <x:row r="29" ht="21" customHeight="1">
      <x:c r="A29" s="3" t="n">
        <x:v>24</x:v>
      </x:c>
      <x:c r="B29" s="26" t="n">
        <x:f>IF(ISNUMBER('Inputs'!E12),'Inputs'!E12,"UNKNOWN")</x:f>
        <x:v>500</x:v>
      </x:c>
      <x:c r="C29" s="26" t="n">
        <x:f>IF(ISNUMBER('Inputs'!E18),'Inputs'!E18,"UNKNOWN")</x:f>
        <x:v>0.9</x:v>
      </x:c>
      <x:c r="D29" s="26" t="n">
        <x:f>IF(ISNUMBER('Inputs'!E24),'Inputs'!E24,"UNKNOWN")</x:f>
        <x:v>50</x:v>
      </x:c>
      <x:c r="E29" s="26" t="n">
        <x:f>IF(ISNUMBER('Inputs'!C30),'Inputs'!C30,"UNKNOWN")</x:f>
        <x:v>5</x:v>
      </x:c>
      <x:c r="F29" s="26" t="n">
        <x:f>IF(ISNUMBER('Inputs'!C36),'Inputs'!C36,"UNKNOWN")</x:f>
        <x:v>5</x:v>
      </x:c>
      <x:c r="G29" s="26" t="n">
        <x:f>IF(ISNUMBER('Inputs'!C42),'Inputs'!C42,"UNKNOWN")</x:f>
        <x:v>0.1</x:v>
      </x:c>
      <x:c r="H29" s="26" t="n">
        <x:f>IF(ISNUMBER('Inputs'!C48),'Inputs'!C48,"UNKNOWN")</x:f>
        <x:v>10</x:v>
      </x:c>
      <x:c r="I29" s="26" t="n">
        <x:f>IF(ISNUMBER('Inputs'!C54),'Inputs'!C54,"UNKNOWN")</x:f>
        <x:v>1</x:v>
      </x:c>
      <x:c r="J29" s="26" t="n">
        <x:f>IF(ISNUMBER('Inputs'!C60),'Inputs'!C60,"UNKNOWN")</x:f>
        <x:v>0.03</x:v>
      </x:c>
      <x:c r="K29" s="26" t="n">
        <x:f>IF(ISNUMBER('Inputs'!E66),'Inputs'!E66,"UNKNOWN")</x:f>
        <x:v>70</x:v>
      </x:c>
      <x:c r="L29" s="26" t="n">
        <x:f>IF(ISNUMBER('Inputs'!C72),'Inputs'!C72,"UNKNOWN")</x:f>
        <x:v>12</x:v>
      </x:c>
      <x:c r="M29" s="26" t="n">
        <x:f>IF(ISNUMBER('Inputs'!C78),'Inputs'!C78,"UNKNOWN")</x:f>
        <x:v>100</x:v>
      </x:c>
      <x:c r="N29" s="26" t="n">
        <x:f>IF(ISNUMBER('Inputs'!C84),'Inputs'!C84,"UNKNOWN")</x:f>
        <x:v>1</x:v>
      </x:c>
      <x:c r="O29" s="26" t="n">
        <x:f>IF(ISNUMBER('Inputs'!C90),'Inputs'!C90,"UNKNOWN")</x:f>
        <x:v>1</x:v>
      </x:c>
      <x:c r="P29" s="26" t="n">
        <x:f>IF(ISNUMBER('Inputs'!C96),'Inputs'!C96,"UNKNOWN")</x:f>
        <x:v>20</x:v>
      </x:c>
      <x:c r="Q29" s="26" t="n">
        <x:f>IF(ISNUMBER('Inputs'!C102),'Inputs'!C102,"UNKNOWN")</x:f>
        <x:v>0</x:v>
      </x:c>
      <x:c r="R29" s="22" t="n">
        <x:f>IF(AND(COUNT(B29,C29,D29,E29,F29,G29,H29,I29,J29,K29,L29,M29,N29,O29,P29)=15,ISNUMBER('Inputs'!$B$5),'Inputs'!$B$5&gt;0,INT('Inputs'!$B$5)='Inputs'!$B$5),('Inputs'!$B$5*(B29*C29*(D29-E29-F29-G29*H29)/60-N29-O29)-L29)*K29-('Inputs'!$B$5*(B29*C29*I29*J29+P29)+M29),"UNKNOWN")</x:f>
        <x:v>242678</x:v>
      </x:c>
      <x:c r="S29" s="22" t="n">
        <x:f>IF(AND(COUNT(B29,C29,D29,E29,F29,G29,H29,I29,J29,K29,L29,M29,N29,O29,P29,Q29)=16,ISNUMBER('Inputs'!$B$5),'Inputs'!$B$5&gt;0,INT('Inputs'!$B$5)='Inputs'!$B$5),('Inputs'!$B$5*(B29*C29*(D29-E29-F29-G29*H29)/60-N29-O29)-L29)*K29*Q29-('Inputs'!$B$5*(B29*C29*I29*J29+P29)+M29),"UNKNOWN")</x:f>
        <x:v>-502</x:v>
      </x:c>
    </x:row>
    <x:row r="30" ht="21" customHeight="1">
      <x:c r="A30" s="3" t="n">
        <x:v>25</x:v>
      </x:c>
      <x:c r="B30" s="26" t="n">
        <x:f>IF(ISNUMBER('Inputs'!C12),'Inputs'!C12,"UNKNOWN")</x:f>
        <x:v>300</x:v>
      </x:c>
      <x:c r="C30" s="26" t="n">
        <x:f>IF(ISNUMBER('Inputs'!C18),'Inputs'!C18,"UNKNOWN")</x:f>
        <x:v>0.7</x:v>
      </x:c>
      <x:c r="D30" s="26" t="n">
        <x:f>IF(ISNUMBER('Inputs'!E24),'Inputs'!E24,"UNKNOWN")</x:f>
        <x:v>50</x:v>
      </x:c>
      <x:c r="E30" s="26" t="n">
        <x:f>IF(ISNUMBER('Inputs'!C30),'Inputs'!C30,"UNKNOWN")</x:f>
        <x:v>5</x:v>
      </x:c>
      <x:c r="F30" s="26" t="n">
        <x:f>IF(ISNUMBER('Inputs'!C36),'Inputs'!C36,"UNKNOWN")</x:f>
        <x:v>5</x:v>
      </x:c>
      <x:c r="G30" s="26" t="n">
        <x:f>IF(ISNUMBER('Inputs'!C42),'Inputs'!C42,"UNKNOWN")</x:f>
        <x:v>0.1</x:v>
      </x:c>
      <x:c r="H30" s="26" t="n">
        <x:f>IF(ISNUMBER('Inputs'!C48),'Inputs'!C48,"UNKNOWN")</x:f>
        <x:v>10</x:v>
      </x:c>
      <x:c r="I30" s="26" t="n">
        <x:f>IF(ISNUMBER('Inputs'!C54),'Inputs'!C54,"UNKNOWN")</x:f>
        <x:v>1</x:v>
      </x:c>
      <x:c r="J30" s="26" t="n">
        <x:f>IF(ISNUMBER('Inputs'!C60),'Inputs'!C60,"UNKNOWN")</x:f>
        <x:v>0.03</x:v>
      </x:c>
      <x:c r="K30" s="26" t="n">
        <x:f>IF(ISNUMBER('Inputs'!C66),'Inputs'!C66,"UNKNOWN")</x:f>
        <x:v>50</x:v>
      </x:c>
      <x:c r="L30" s="26" t="n">
        <x:f>IF(ISNUMBER('Inputs'!C72),'Inputs'!C72,"UNKNOWN")</x:f>
        <x:v>12</x:v>
      </x:c>
      <x:c r="M30" s="26" t="n">
        <x:f>IF(ISNUMBER('Inputs'!C78),'Inputs'!C78,"UNKNOWN")</x:f>
        <x:v>100</x:v>
      </x:c>
      <x:c r="N30" s="26" t="n">
        <x:f>IF(ISNUMBER('Inputs'!C84),'Inputs'!C84,"UNKNOWN")</x:f>
        <x:v>1</x:v>
      </x:c>
      <x:c r="O30" s="26" t="n">
        <x:f>IF(ISNUMBER('Inputs'!C90),'Inputs'!C90,"UNKNOWN")</x:f>
        <x:v>1</x:v>
      </x:c>
      <x:c r="P30" s="26" t="n">
        <x:f>IF(ISNUMBER('Inputs'!C96),'Inputs'!C96,"UNKNOWN")</x:f>
        <x:v>20</x:v>
      </x:c>
      <x:c r="Q30" s="26" t="n">
        <x:f>IF(ISNUMBER('Inputs'!E102),'Inputs'!E102,"UNKNOWN")</x:f>
        <x:v>0</x:v>
      </x:c>
      <x:c r="R30" s="22" t="n">
        <x:f>IF(AND(COUNT(B30,C30,D30,E30,F30,G30,H30,I30,J30,K30,L30,M30,N30,O30,P30)=15,ISNUMBER('Inputs'!$B$5),'Inputs'!$B$5&gt;0,INT('Inputs'!$B$5)='Inputs'!$B$5),('Inputs'!$B$5*(B30*C30*(D30-E30-F30-G30*H30)/60-N30-O30)-L30)*K30-('Inputs'!$B$5*(B30*C30*I30*J30+P30)+M30),"UNKNOWN")</x:f>
        <x:v>79684.4</x:v>
      </x:c>
      <x:c r="S30" s="22" t="n">
        <x:f>IF(AND(COUNT(B30,C30,D30,E30,F30,G30,H30,I30,J30,K30,L30,M30,N30,O30,P30,Q30)=16,ISNUMBER('Inputs'!$B$5),'Inputs'!$B$5&gt;0,INT('Inputs'!$B$5)='Inputs'!$B$5),('Inputs'!$B$5*(B30*C30*(D30-E30-F30-G30*H30)/60-N30-O30)-L30)*K30*Q30-('Inputs'!$B$5*(B30*C30*I30*J30+P30)+M30),"UNKNOWN")</x:f>
        <x:v>-415.6</x:v>
      </x:c>
    </x:row>
    <x:row r="31" ht="21" customHeight="1">
      <x:c r="A31" s="3" t="n">
        <x:v>26</x:v>
      </x:c>
      <x:c r="B31" s="26" t="n">
        <x:f>IF(ISNUMBER('Inputs'!E12),'Inputs'!E12,"UNKNOWN")</x:f>
        <x:v>500</x:v>
      </x:c>
      <x:c r="C31" s="26" t="n">
        <x:f>IF(ISNUMBER('Inputs'!C18),'Inputs'!C18,"UNKNOWN")</x:f>
        <x:v>0.7</x:v>
      </x:c>
      <x:c r="D31" s="26" t="n">
        <x:f>IF(ISNUMBER('Inputs'!E24),'Inputs'!E24,"UNKNOWN")</x:f>
        <x:v>50</x:v>
      </x:c>
      <x:c r="E31" s="26" t="n">
        <x:f>IF(ISNUMBER('Inputs'!C30),'Inputs'!C30,"UNKNOWN")</x:f>
        <x:v>5</x:v>
      </x:c>
      <x:c r="F31" s="26" t="n">
        <x:f>IF(ISNUMBER('Inputs'!C36),'Inputs'!C36,"UNKNOWN")</x:f>
        <x:v>5</x:v>
      </x:c>
      <x:c r="G31" s="26" t="n">
        <x:f>IF(ISNUMBER('Inputs'!C42),'Inputs'!C42,"UNKNOWN")</x:f>
        <x:v>0.1</x:v>
      </x:c>
      <x:c r="H31" s="26" t="n">
        <x:f>IF(ISNUMBER('Inputs'!C48),'Inputs'!C48,"UNKNOWN")</x:f>
        <x:v>10</x:v>
      </x:c>
      <x:c r="I31" s="26" t="n">
        <x:f>IF(ISNUMBER('Inputs'!C54),'Inputs'!C54,"UNKNOWN")</x:f>
        <x:v>1</x:v>
      </x:c>
      <x:c r="J31" s="26" t="n">
        <x:f>IF(ISNUMBER('Inputs'!C60),'Inputs'!C60,"UNKNOWN")</x:f>
        <x:v>0.03</x:v>
      </x:c>
      <x:c r="K31" s="26" t="n">
        <x:f>IF(ISNUMBER('Inputs'!C66),'Inputs'!C66,"UNKNOWN")</x:f>
        <x:v>50</x:v>
      </x:c>
      <x:c r="L31" s="26" t="n">
        <x:f>IF(ISNUMBER('Inputs'!C72),'Inputs'!C72,"UNKNOWN")</x:f>
        <x:v>12</x:v>
      </x:c>
      <x:c r="M31" s="26" t="n">
        <x:f>IF(ISNUMBER('Inputs'!C78),'Inputs'!C78,"UNKNOWN")</x:f>
        <x:v>100</x:v>
      </x:c>
      <x:c r="N31" s="26" t="n">
        <x:f>IF(ISNUMBER('Inputs'!C84),'Inputs'!C84,"UNKNOWN")</x:f>
        <x:v>1</x:v>
      </x:c>
      <x:c r="O31" s="26" t="n">
        <x:f>IF(ISNUMBER('Inputs'!C90),'Inputs'!C90,"UNKNOWN")</x:f>
        <x:v>1</x:v>
      </x:c>
      <x:c r="P31" s="26" t="n">
        <x:f>IF(ISNUMBER('Inputs'!C96),'Inputs'!C96,"UNKNOWN")</x:f>
        <x:v>20</x:v>
      </x:c>
      <x:c r="Q31" s="26" t="n">
        <x:f>IF(ISNUMBER('Inputs'!E102),'Inputs'!E102,"UNKNOWN")</x:f>
        <x:v>0</x:v>
      </x:c>
      <x:c r="R31" s="22" t="n">
        <x:f>IF(AND(COUNT(B31,C31,D31,E31,F31,G31,H31,I31,J31,K31,L31,M31,N31,O31,P31)=15,ISNUMBER('Inputs'!$B$5),'Inputs'!$B$5&gt;0,INT('Inputs'!$B$5)='Inputs'!$B$5),('Inputs'!$B$5*(B31*C31*(D31-E31-F31-G31*H31)/60-N31-O31)-L31)*K31-('Inputs'!$B$5*(B31*C31*I31*J31+P31)+M31),"UNKNOWN")</x:f>
        <x:v>134234</x:v>
      </x:c>
      <x:c r="S31" s="22" t="n">
        <x:f>IF(AND(COUNT(B31,C31,D31,E31,F31,G31,H31,I31,J31,K31,L31,M31,N31,O31,P31,Q31)=16,ISNUMBER('Inputs'!$B$5),'Inputs'!$B$5&gt;0,INT('Inputs'!$B$5)='Inputs'!$B$5),('Inputs'!$B$5*(B31*C31*(D31-E31-F31-G31*H31)/60-N31-O31)-L31)*K31*Q31-('Inputs'!$B$5*(B31*C31*I31*J31+P31)+M31),"UNKNOWN")</x:f>
        <x:v>-466</x:v>
      </x:c>
    </x:row>
    <x:row r="32" ht="21" customHeight="1">
      <x:c r="A32" s="3" t="n">
        <x:v>27</x:v>
      </x:c>
      <x:c r="B32" s="26" t="n">
        <x:f>IF(ISNUMBER('Inputs'!C12),'Inputs'!C12,"UNKNOWN")</x:f>
        <x:v>300</x:v>
      </x:c>
      <x:c r="C32" s="26" t="n">
        <x:f>IF(ISNUMBER('Inputs'!E18),'Inputs'!E18,"UNKNOWN")</x:f>
        <x:v>0.9</x:v>
      </x:c>
      <x:c r="D32" s="26" t="n">
        <x:f>IF(ISNUMBER('Inputs'!E24),'Inputs'!E24,"UNKNOWN")</x:f>
        <x:v>50</x:v>
      </x:c>
      <x:c r="E32" s="26" t="n">
        <x:f>IF(ISNUMBER('Inputs'!C30),'Inputs'!C30,"UNKNOWN")</x:f>
        <x:v>5</x:v>
      </x:c>
      <x:c r="F32" s="26" t="n">
        <x:f>IF(ISNUMBER('Inputs'!C36),'Inputs'!C36,"UNKNOWN")</x:f>
        <x:v>5</x:v>
      </x:c>
      <x:c r="G32" s="26" t="n">
        <x:f>IF(ISNUMBER('Inputs'!C42),'Inputs'!C42,"UNKNOWN")</x:f>
        <x:v>0.1</x:v>
      </x:c>
      <x:c r="H32" s="26" t="n">
        <x:f>IF(ISNUMBER('Inputs'!C48),'Inputs'!C48,"UNKNOWN")</x:f>
        <x:v>10</x:v>
      </x:c>
      <x:c r="I32" s="26" t="n">
        <x:f>IF(ISNUMBER('Inputs'!C54),'Inputs'!C54,"UNKNOWN")</x:f>
        <x:v>1</x:v>
      </x:c>
      <x:c r="J32" s="26" t="n">
        <x:f>IF(ISNUMBER('Inputs'!C60),'Inputs'!C60,"UNKNOWN")</x:f>
        <x:v>0.03</x:v>
      </x:c>
      <x:c r="K32" s="26" t="n">
        <x:f>IF(ISNUMBER('Inputs'!C66),'Inputs'!C66,"UNKNOWN")</x:f>
        <x:v>50</x:v>
      </x:c>
      <x:c r="L32" s="26" t="n">
        <x:f>IF(ISNUMBER('Inputs'!C72),'Inputs'!C72,"UNKNOWN")</x:f>
        <x:v>12</x:v>
      </x:c>
      <x:c r="M32" s="26" t="n">
        <x:f>IF(ISNUMBER('Inputs'!C78),'Inputs'!C78,"UNKNOWN")</x:f>
        <x:v>100</x:v>
      </x:c>
      <x:c r="N32" s="26" t="n">
        <x:f>IF(ISNUMBER('Inputs'!C84),'Inputs'!C84,"UNKNOWN")</x:f>
        <x:v>1</x:v>
      </x:c>
      <x:c r="O32" s="26" t="n">
        <x:f>IF(ISNUMBER('Inputs'!C90),'Inputs'!C90,"UNKNOWN")</x:f>
        <x:v>1</x:v>
      </x:c>
      <x:c r="P32" s="26" t="n">
        <x:f>IF(ISNUMBER('Inputs'!C96),'Inputs'!C96,"UNKNOWN")</x:f>
        <x:v>20</x:v>
      </x:c>
      <x:c r="Q32" s="26" t="n">
        <x:f>IF(ISNUMBER('Inputs'!E102),'Inputs'!E102,"UNKNOWN")</x:f>
        <x:v>0</x:v>
      </x:c>
      <x:c r="R32" s="22" t="n">
        <x:f>IF(AND(COUNT(B32,C32,D32,E32,F32,G32,H32,I32,J32,K32,L32,M32,N32,O32,P32)=15,ISNUMBER('Inputs'!$B$5),'Inputs'!$B$5&gt;0,INT('Inputs'!$B$5)='Inputs'!$B$5),('Inputs'!$B$5*(B32*C32*(D32-E32-F32-G32*H32)/60-N32-O32)-L32)*K32-('Inputs'!$B$5*(B32*C32*I32*J32+P32)+M32),"UNKNOWN")</x:f>
        <x:v>103062.8</x:v>
      </x:c>
      <x:c r="S32" s="22" t="n">
        <x:f>IF(AND(COUNT(B32,C32,D32,E32,F32,G32,H32,I32,J32,K32,L32,M32,N32,O32,P32,Q32)=16,ISNUMBER('Inputs'!$B$5),'Inputs'!$B$5&gt;0,INT('Inputs'!$B$5)='Inputs'!$B$5),('Inputs'!$B$5*(B32*C32*(D32-E32-F32-G32*H32)/60-N32-O32)-L32)*K32*Q32-('Inputs'!$B$5*(B32*C32*I32*J32+P32)+M32),"UNKNOWN")</x:f>
        <x:v>-437.20000000000005</x:v>
      </x:c>
    </x:row>
    <x:row r="33" ht="21" customHeight="1">
      <x:c r="A33" s="3" t="n">
        <x:v>28</x:v>
      </x:c>
      <x:c r="B33" s="26" t="n">
        <x:f>IF(ISNUMBER('Inputs'!E12),'Inputs'!E12,"UNKNOWN")</x:f>
        <x:v>500</x:v>
      </x:c>
      <x:c r="C33" s="26" t="n">
        <x:f>IF(ISNUMBER('Inputs'!E18),'Inputs'!E18,"UNKNOWN")</x:f>
        <x:v>0.9</x:v>
      </x:c>
      <x:c r="D33" s="26" t="n">
        <x:f>IF(ISNUMBER('Inputs'!E24),'Inputs'!E24,"UNKNOWN")</x:f>
        <x:v>50</x:v>
      </x:c>
      <x:c r="E33" s="26" t="n">
        <x:f>IF(ISNUMBER('Inputs'!C30),'Inputs'!C30,"UNKNOWN")</x:f>
        <x:v>5</x:v>
      </x:c>
      <x:c r="F33" s="26" t="n">
        <x:f>IF(ISNUMBER('Inputs'!C36),'Inputs'!C36,"UNKNOWN")</x:f>
        <x:v>5</x:v>
      </x:c>
      <x:c r="G33" s="26" t="n">
        <x:f>IF(ISNUMBER('Inputs'!C42),'Inputs'!C42,"UNKNOWN")</x:f>
        <x:v>0.1</x:v>
      </x:c>
      <x:c r="H33" s="26" t="n">
        <x:f>IF(ISNUMBER('Inputs'!C48),'Inputs'!C48,"UNKNOWN")</x:f>
        <x:v>10</x:v>
      </x:c>
      <x:c r="I33" s="26" t="n">
        <x:f>IF(ISNUMBER('Inputs'!C54),'Inputs'!C54,"UNKNOWN")</x:f>
        <x:v>1</x:v>
      </x:c>
      <x:c r="J33" s="26" t="n">
        <x:f>IF(ISNUMBER('Inputs'!C60),'Inputs'!C60,"UNKNOWN")</x:f>
        <x:v>0.03</x:v>
      </x:c>
      <x:c r="K33" s="26" t="n">
        <x:f>IF(ISNUMBER('Inputs'!C66),'Inputs'!C66,"UNKNOWN")</x:f>
        <x:v>50</x:v>
      </x:c>
      <x:c r="L33" s="26" t="n">
        <x:f>IF(ISNUMBER('Inputs'!C72),'Inputs'!C72,"UNKNOWN")</x:f>
        <x:v>12</x:v>
      </x:c>
      <x:c r="M33" s="26" t="n">
        <x:f>IF(ISNUMBER('Inputs'!C78),'Inputs'!C78,"UNKNOWN")</x:f>
        <x:v>100</x:v>
      </x:c>
      <x:c r="N33" s="26" t="n">
        <x:f>IF(ISNUMBER('Inputs'!C84),'Inputs'!C84,"UNKNOWN")</x:f>
        <x:v>1</x:v>
      </x:c>
      <x:c r="O33" s="26" t="n">
        <x:f>IF(ISNUMBER('Inputs'!C90),'Inputs'!C90,"UNKNOWN")</x:f>
        <x:v>1</x:v>
      </x:c>
      <x:c r="P33" s="26" t="n">
        <x:f>IF(ISNUMBER('Inputs'!C96),'Inputs'!C96,"UNKNOWN")</x:f>
        <x:v>20</x:v>
      </x:c>
      <x:c r="Q33" s="26" t="n">
        <x:f>IF(ISNUMBER('Inputs'!E102),'Inputs'!E102,"UNKNOWN")</x:f>
        <x:v>0</x:v>
      </x:c>
      <x:c r="R33" s="22" t="n">
        <x:f>IF(AND(COUNT(B33,C33,D33,E33,F33,G33,H33,I33,J33,K33,L33,M33,N33,O33,P33)=15,ISNUMBER('Inputs'!$B$5),'Inputs'!$B$5&gt;0,INT('Inputs'!$B$5)='Inputs'!$B$5),('Inputs'!$B$5*(B33*C33*(D33-E33-F33-G33*H33)/60-N33-O33)-L33)*K33-('Inputs'!$B$5*(B33*C33*I33*J33+P33)+M33),"UNKNOWN")</x:f>
        <x:v>173198</x:v>
      </x:c>
      <x:c r="S33" s="22" t="n">
        <x:f>IF(AND(COUNT(B33,C33,D33,E33,F33,G33,H33,I33,J33,K33,L33,M33,N33,O33,P33,Q33)=16,ISNUMBER('Inputs'!$B$5),'Inputs'!$B$5&gt;0,INT('Inputs'!$B$5)='Inputs'!$B$5),('Inputs'!$B$5*(B33*C33*(D33-E33-F33-G33*H33)/60-N33-O33)-L33)*K33*Q33-('Inputs'!$B$5*(B33*C33*I33*J33+P33)+M33),"UNKNOWN")</x:f>
        <x:v>-502</x:v>
      </x:c>
    </x:row>
    <x:row r="34" ht="21" customHeight="1">
      <x:c r="A34" s="3" t="n">
        <x:v>29</x:v>
      </x:c>
      <x:c r="B34" s="26" t="n">
        <x:f>IF(ISNUMBER('Inputs'!C12),'Inputs'!C12,"UNKNOWN")</x:f>
        <x:v>300</x:v>
      </x:c>
      <x:c r="C34" s="26" t="n">
        <x:f>IF(ISNUMBER('Inputs'!C18),'Inputs'!C18,"UNKNOWN")</x:f>
        <x:v>0.7</x:v>
      </x:c>
      <x:c r="D34" s="26" t="n">
        <x:f>IF(ISNUMBER('Inputs'!E24),'Inputs'!E24,"UNKNOWN")</x:f>
        <x:v>50</x:v>
      </x:c>
      <x:c r="E34" s="26" t="n">
        <x:f>IF(ISNUMBER('Inputs'!C30),'Inputs'!C30,"UNKNOWN")</x:f>
        <x:v>5</x:v>
      </x:c>
      <x:c r="F34" s="26" t="n">
        <x:f>IF(ISNUMBER('Inputs'!C36),'Inputs'!C36,"UNKNOWN")</x:f>
        <x:v>5</x:v>
      </x:c>
      <x:c r="G34" s="26" t="n">
        <x:f>IF(ISNUMBER('Inputs'!C42),'Inputs'!C42,"UNKNOWN")</x:f>
        <x:v>0.1</x:v>
      </x:c>
      <x:c r="H34" s="26" t="n">
        <x:f>IF(ISNUMBER('Inputs'!C48),'Inputs'!C48,"UNKNOWN")</x:f>
        <x:v>10</x:v>
      </x:c>
      <x:c r="I34" s="26" t="n">
        <x:f>IF(ISNUMBER('Inputs'!C54),'Inputs'!C54,"UNKNOWN")</x:f>
        <x:v>1</x:v>
      </x:c>
      <x:c r="J34" s="26" t="n">
        <x:f>IF(ISNUMBER('Inputs'!C60),'Inputs'!C60,"UNKNOWN")</x:f>
        <x:v>0.03</x:v>
      </x:c>
      <x:c r="K34" s="26" t="n">
        <x:f>IF(ISNUMBER('Inputs'!E66),'Inputs'!E66,"UNKNOWN")</x:f>
        <x:v>70</x:v>
      </x:c>
      <x:c r="L34" s="26" t="n">
        <x:f>IF(ISNUMBER('Inputs'!C72),'Inputs'!C72,"UNKNOWN")</x:f>
        <x:v>12</x:v>
      </x:c>
      <x:c r="M34" s="26" t="n">
        <x:f>IF(ISNUMBER('Inputs'!C78),'Inputs'!C78,"UNKNOWN")</x:f>
        <x:v>100</x:v>
      </x:c>
      <x:c r="N34" s="26" t="n">
        <x:f>IF(ISNUMBER('Inputs'!C84),'Inputs'!C84,"UNKNOWN")</x:f>
        <x:v>1</x:v>
      </x:c>
      <x:c r="O34" s="26" t="n">
        <x:f>IF(ISNUMBER('Inputs'!C90),'Inputs'!C90,"UNKNOWN")</x:f>
        <x:v>1</x:v>
      </x:c>
      <x:c r="P34" s="26" t="n">
        <x:f>IF(ISNUMBER('Inputs'!C96),'Inputs'!C96,"UNKNOWN")</x:f>
        <x:v>20</x:v>
      </x:c>
      <x:c r="Q34" s="26" t="n">
        <x:f>IF(ISNUMBER('Inputs'!E102),'Inputs'!E102,"UNKNOWN")</x:f>
        <x:v>0</x:v>
      </x:c>
      <x:c r="R34" s="22" t="n">
        <x:f>IF(AND(COUNT(B34,C34,D34,E34,F34,G34,H34,I34,J34,K34,L34,M34,N34,O34,P34)=15,ISNUMBER('Inputs'!$B$5),'Inputs'!$B$5&gt;0,INT('Inputs'!$B$5)='Inputs'!$B$5),('Inputs'!$B$5*(B34*C34*(D34-E34-F34-G34*H34)/60-N34-O34)-L34)*K34-('Inputs'!$B$5*(B34*C34*I34*J34+P34)+M34),"UNKNOWN")</x:f>
        <x:v>111724.4</x:v>
      </x:c>
      <x:c r="S34" s="22" t="n">
        <x:f>IF(AND(COUNT(B34,C34,D34,E34,F34,G34,H34,I34,J34,K34,L34,M34,N34,O34,P34,Q34)=16,ISNUMBER('Inputs'!$B$5),'Inputs'!$B$5&gt;0,INT('Inputs'!$B$5)='Inputs'!$B$5),('Inputs'!$B$5*(B34*C34*(D34-E34-F34-G34*H34)/60-N34-O34)-L34)*K34*Q34-('Inputs'!$B$5*(B34*C34*I34*J34+P34)+M34),"UNKNOWN")</x:f>
        <x:v>-415.6</x:v>
      </x:c>
    </x:row>
    <x:row r="35" ht="21" customHeight="1">
      <x:c r="A35" s="3" t="n">
        <x:v>30</x:v>
      </x:c>
      <x:c r="B35" s="26" t="n">
        <x:f>IF(ISNUMBER('Inputs'!E12),'Inputs'!E12,"UNKNOWN")</x:f>
        <x:v>500</x:v>
      </x:c>
      <x:c r="C35" s="26" t="n">
        <x:f>IF(ISNUMBER('Inputs'!C18),'Inputs'!C18,"UNKNOWN")</x:f>
        <x:v>0.7</x:v>
      </x:c>
      <x:c r="D35" s="26" t="n">
        <x:f>IF(ISNUMBER('Inputs'!E24),'Inputs'!E24,"UNKNOWN")</x:f>
        <x:v>50</x:v>
      </x:c>
      <x:c r="E35" s="26" t="n">
        <x:f>IF(ISNUMBER('Inputs'!C30),'Inputs'!C30,"UNKNOWN")</x:f>
        <x:v>5</x:v>
      </x:c>
      <x:c r="F35" s="26" t="n">
        <x:f>IF(ISNUMBER('Inputs'!C36),'Inputs'!C36,"UNKNOWN")</x:f>
        <x:v>5</x:v>
      </x:c>
      <x:c r="G35" s="26" t="n">
        <x:f>IF(ISNUMBER('Inputs'!C42),'Inputs'!C42,"UNKNOWN")</x:f>
        <x:v>0.1</x:v>
      </x:c>
      <x:c r="H35" s="26" t="n">
        <x:f>IF(ISNUMBER('Inputs'!C48),'Inputs'!C48,"UNKNOWN")</x:f>
        <x:v>10</x:v>
      </x:c>
      <x:c r="I35" s="26" t="n">
        <x:f>IF(ISNUMBER('Inputs'!C54),'Inputs'!C54,"UNKNOWN")</x:f>
        <x:v>1</x:v>
      </x:c>
      <x:c r="J35" s="26" t="n">
        <x:f>IF(ISNUMBER('Inputs'!C60),'Inputs'!C60,"UNKNOWN")</x:f>
        <x:v>0.03</x:v>
      </x:c>
      <x:c r="K35" s="26" t="n">
        <x:f>IF(ISNUMBER('Inputs'!E66),'Inputs'!E66,"UNKNOWN")</x:f>
        <x:v>70</x:v>
      </x:c>
      <x:c r="L35" s="26" t="n">
        <x:f>IF(ISNUMBER('Inputs'!C72),'Inputs'!C72,"UNKNOWN")</x:f>
        <x:v>12</x:v>
      </x:c>
      <x:c r="M35" s="26" t="n">
        <x:f>IF(ISNUMBER('Inputs'!C78),'Inputs'!C78,"UNKNOWN")</x:f>
        <x:v>100</x:v>
      </x:c>
      <x:c r="N35" s="26" t="n">
        <x:f>IF(ISNUMBER('Inputs'!C84),'Inputs'!C84,"UNKNOWN")</x:f>
        <x:v>1</x:v>
      </x:c>
      <x:c r="O35" s="26" t="n">
        <x:f>IF(ISNUMBER('Inputs'!C90),'Inputs'!C90,"UNKNOWN")</x:f>
        <x:v>1</x:v>
      </x:c>
      <x:c r="P35" s="26" t="n">
        <x:f>IF(ISNUMBER('Inputs'!C96),'Inputs'!C96,"UNKNOWN")</x:f>
        <x:v>20</x:v>
      </x:c>
      <x:c r="Q35" s="26" t="n">
        <x:f>IF(ISNUMBER('Inputs'!E102),'Inputs'!E102,"UNKNOWN")</x:f>
        <x:v>0</x:v>
      </x:c>
      <x:c r="R35" s="22" t="n">
        <x:f>IF(AND(COUNT(B35,C35,D35,E35,F35,G35,H35,I35,J35,K35,L35,M35,N35,O35,P35)=15,ISNUMBER('Inputs'!$B$5),'Inputs'!$B$5&gt;0,INT('Inputs'!$B$5)='Inputs'!$B$5),('Inputs'!$B$5*(B35*C35*(D35-E35-F35-G35*H35)/60-N35-O35)-L35)*K35-('Inputs'!$B$5*(B35*C35*I35*J35+P35)+M35),"UNKNOWN")</x:f>
        <x:v>188114</x:v>
      </x:c>
      <x:c r="S35" s="22" t="n">
        <x:f>IF(AND(COUNT(B35,C35,D35,E35,F35,G35,H35,I35,J35,K35,L35,M35,N35,O35,P35,Q35)=16,ISNUMBER('Inputs'!$B$5),'Inputs'!$B$5&gt;0,INT('Inputs'!$B$5)='Inputs'!$B$5),('Inputs'!$B$5*(B35*C35*(D35-E35-F35-G35*H35)/60-N35-O35)-L35)*K35*Q35-('Inputs'!$B$5*(B35*C35*I35*J35+P35)+M35),"UNKNOWN")</x:f>
        <x:v>-466</x:v>
      </x:c>
    </x:row>
    <x:row r="36" ht="21" customHeight="1">
      <x:c r="A36" s="3" t="n">
        <x:v>31</x:v>
      </x:c>
      <x:c r="B36" s="26" t="n">
        <x:f>IF(ISNUMBER('Inputs'!C12),'Inputs'!C12,"UNKNOWN")</x:f>
        <x:v>300</x:v>
      </x:c>
      <x:c r="C36" s="26" t="n">
        <x:f>IF(ISNUMBER('Inputs'!E18),'Inputs'!E18,"UNKNOWN")</x:f>
        <x:v>0.9</x:v>
      </x:c>
      <x:c r="D36" s="26" t="n">
        <x:f>IF(ISNUMBER('Inputs'!E24),'Inputs'!E24,"UNKNOWN")</x:f>
        <x:v>50</x:v>
      </x:c>
      <x:c r="E36" s="26" t="n">
        <x:f>IF(ISNUMBER('Inputs'!C30),'Inputs'!C30,"UNKNOWN")</x:f>
        <x:v>5</x:v>
      </x:c>
      <x:c r="F36" s="26" t="n">
        <x:f>IF(ISNUMBER('Inputs'!C36),'Inputs'!C36,"UNKNOWN")</x:f>
        <x:v>5</x:v>
      </x:c>
      <x:c r="G36" s="26" t="n">
        <x:f>IF(ISNUMBER('Inputs'!C42),'Inputs'!C42,"UNKNOWN")</x:f>
        <x:v>0.1</x:v>
      </x:c>
      <x:c r="H36" s="26" t="n">
        <x:f>IF(ISNUMBER('Inputs'!C48),'Inputs'!C48,"UNKNOWN")</x:f>
        <x:v>10</x:v>
      </x:c>
      <x:c r="I36" s="26" t="n">
        <x:f>IF(ISNUMBER('Inputs'!C54),'Inputs'!C54,"UNKNOWN")</x:f>
        <x:v>1</x:v>
      </x:c>
      <x:c r="J36" s="26" t="n">
        <x:f>IF(ISNUMBER('Inputs'!C60),'Inputs'!C60,"UNKNOWN")</x:f>
        <x:v>0.03</x:v>
      </x:c>
      <x:c r="K36" s="26" t="n">
        <x:f>IF(ISNUMBER('Inputs'!E66),'Inputs'!E66,"UNKNOWN")</x:f>
        <x:v>70</x:v>
      </x:c>
      <x:c r="L36" s="26" t="n">
        <x:f>IF(ISNUMBER('Inputs'!C72),'Inputs'!C72,"UNKNOWN")</x:f>
        <x:v>12</x:v>
      </x:c>
      <x:c r="M36" s="26" t="n">
        <x:f>IF(ISNUMBER('Inputs'!C78),'Inputs'!C78,"UNKNOWN")</x:f>
        <x:v>100</x:v>
      </x:c>
      <x:c r="N36" s="26" t="n">
        <x:f>IF(ISNUMBER('Inputs'!C84),'Inputs'!C84,"UNKNOWN")</x:f>
        <x:v>1</x:v>
      </x:c>
      <x:c r="O36" s="26" t="n">
        <x:f>IF(ISNUMBER('Inputs'!C90),'Inputs'!C90,"UNKNOWN")</x:f>
        <x:v>1</x:v>
      </x:c>
      <x:c r="P36" s="26" t="n">
        <x:f>IF(ISNUMBER('Inputs'!C96),'Inputs'!C96,"UNKNOWN")</x:f>
        <x:v>20</x:v>
      </x:c>
      <x:c r="Q36" s="26" t="n">
        <x:f>IF(ISNUMBER('Inputs'!E102),'Inputs'!E102,"UNKNOWN")</x:f>
        <x:v>0</x:v>
      </x:c>
      <x:c r="R36" s="22" t="n">
        <x:f>IF(AND(COUNT(B36,C36,D36,E36,F36,G36,H36,I36,J36,K36,L36,M36,N36,O36,P36)=15,ISNUMBER('Inputs'!$B$5),'Inputs'!$B$5&gt;0,INT('Inputs'!$B$5)='Inputs'!$B$5),('Inputs'!$B$5*(B36*C36*(D36-E36-F36-G36*H36)/60-N36-O36)-L36)*K36-('Inputs'!$B$5*(B36*C36*I36*J36+P36)+M36),"UNKNOWN")</x:f>
        <x:v>144462.8</x:v>
      </x:c>
      <x:c r="S36" s="22" t="n">
        <x:f>IF(AND(COUNT(B36,C36,D36,E36,F36,G36,H36,I36,J36,K36,L36,M36,N36,O36,P36,Q36)=16,ISNUMBER('Inputs'!$B$5),'Inputs'!$B$5&gt;0,INT('Inputs'!$B$5)='Inputs'!$B$5),('Inputs'!$B$5*(B36*C36*(D36-E36-F36-G36*H36)/60-N36-O36)-L36)*K36*Q36-('Inputs'!$B$5*(B36*C36*I36*J36+P36)+M36),"UNKNOWN")</x:f>
        <x:v>-437.20000000000005</x:v>
      </x:c>
    </x:row>
    <x:row r="37" ht="21" customHeight="1">
      <x:c r="A37" s="3" t="n">
        <x:v>32</x:v>
      </x:c>
      <x:c r="B37" s="26" t="n">
        <x:f>IF(ISNUMBER('Inputs'!E12),'Inputs'!E12,"UNKNOWN")</x:f>
        <x:v>500</x:v>
      </x:c>
      <x:c r="C37" s="26" t="n">
        <x:f>IF(ISNUMBER('Inputs'!E18),'Inputs'!E18,"UNKNOWN")</x:f>
        <x:v>0.9</x:v>
      </x:c>
      <x:c r="D37" s="26" t="n">
        <x:f>IF(ISNUMBER('Inputs'!E24),'Inputs'!E24,"UNKNOWN")</x:f>
        <x:v>50</x:v>
      </x:c>
      <x:c r="E37" s="26" t="n">
        <x:f>IF(ISNUMBER('Inputs'!C30),'Inputs'!C30,"UNKNOWN")</x:f>
        <x:v>5</x:v>
      </x:c>
      <x:c r="F37" s="26" t="n">
        <x:f>IF(ISNUMBER('Inputs'!C36),'Inputs'!C36,"UNKNOWN")</x:f>
        <x:v>5</x:v>
      </x:c>
      <x:c r="G37" s="26" t="n">
        <x:f>IF(ISNUMBER('Inputs'!C42),'Inputs'!C42,"UNKNOWN")</x:f>
        <x:v>0.1</x:v>
      </x:c>
      <x:c r="H37" s="26" t="n">
        <x:f>IF(ISNUMBER('Inputs'!C48),'Inputs'!C48,"UNKNOWN")</x:f>
        <x:v>10</x:v>
      </x:c>
      <x:c r="I37" s="26" t="n">
        <x:f>IF(ISNUMBER('Inputs'!C54),'Inputs'!C54,"UNKNOWN")</x:f>
        <x:v>1</x:v>
      </x:c>
      <x:c r="J37" s="26" t="n">
        <x:f>IF(ISNUMBER('Inputs'!C60),'Inputs'!C60,"UNKNOWN")</x:f>
        <x:v>0.03</x:v>
      </x:c>
      <x:c r="K37" s="26" t="n">
        <x:f>IF(ISNUMBER('Inputs'!E66),'Inputs'!E66,"UNKNOWN")</x:f>
        <x:v>70</x:v>
      </x:c>
      <x:c r="L37" s="26" t="n">
        <x:f>IF(ISNUMBER('Inputs'!C72),'Inputs'!C72,"UNKNOWN")</x:f>
        <x:v>12</x:v>
      </x:c>
      <x:c r="M37" s="26" t="n">
        <x:f>IF(ISNUMBER('Inputs'!C78),'Inputs'!C78,"UNKNOWN")</x:f>
        <x:v>100</x:v>
      </x:c>
      <x:c r="N37" s="26" t="n">
        <x:f>IF(ISNUMBER('Inputs'!C84),'Inputs'!C84,"UNKNOWN")</x:f>
        <x:v>1</x:v>
      </x:c>
      <x:c r="O37" s="26" t="n">
        <x:f>IF(ISNUMBER('Inputs'!C90),'Inputs'!C90,"UNKNOWN")</x:f>
        <x:v>1</x:v>
      </x:c>
      <x:c r="P37" s="26" t="n">
        <x:f>IF(ISNUMBER('Inputs'!C96),'Inputs'!C96,"UNKNOWN")</x:f>
        <x:v>20</x:v>
      </x:c>
      <x:c r="Q37" s="26" t="n">
        <x:f>IF(ISNUMBER('Inputs'!E102),'Inputs'!E102,"UNKNOWN")</x:f>
        <x:v>0</x:v>
      </x:c>
      <x:c r="R37" s="22" t="n">
        <x:f>IF(AND(COUNT(B37,C37,D37,E37,F37,G37,H37,I37,J37,K37,L37,M37,N37,O37,P37)=15,ISNUMBER('Inputs'!$B$5),'Inputs'!$B$5&gt;0,INT('Inputs'!$B$5)='Inputs'!$B$5),('Inputs'!$B$5*(B37*C37*(D37-E37-F37-G37*H37)/60-N37-O37)-L37)*K37-('Inputs'!$B$5*(B37*C37*I37*J37+P37)+M37),"UNKNOWN")</x:f>
        <x:v>242678</x:v>
      </x:c>
      <x:c r="S37" s="22" t="n">
        <x:f>IF(AND(COUNT(B37,C37,D37,E37,F37,G37,H37,I37,J37,K37,L37,M37,N37,O37,P37,Q37)=16,ISNUMBER('Inputs'!$B$5),'Inputs'!$B$5&gt;0,INT('Inputs'!$B$5)='Inputs'!$B$5),('Inputs'!$B$5*(B37*C37*(D37-E37-F37-G37*H37)/60-N37-O37)-L37)*K37*Q37-('Inputs'!$B$5*(B37*C37*I37*J37+P37)+M37),"UNKNOWN")</x:f>
        <x:v>-502</x:v>
      </x:c>
    </x:row>
    <x:row r="38" ht="21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 ht="21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</x:sheetData>
  <x:conditionalFormatting sqref="A1:S39">
    <x:cfRule type="containsText" dxfId="2" priority="1" operator="containsText" text="UNKNOWN"/>
  </x:conditionalFormatting>
  <x:pageMargins left="0.7" right="0.7" top="0.75" bottom="0.75" header="0.3" footer="0.3"/>
</x:worksheet>
</file>