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acaa70baaa46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folio" sheetId="1" r:id="R6783cdd4cd2540c1"/>
    <x:sheet xmlns:r="http://schemas.openxmlformats.org/officeDocument/2006/relationships" name="Checks" sheetId="2" r:id="Rf17a7378c6824432"/>
    <x:sheet xmlns:r="http://schemas.openxmlformats.org/officeDocument/2006/relationships" name="Runs" sheetId="3" r:id="R0e187beab9fc43bd"/>
    <x:sheet xmlns:r="http://schemas.openxmlformats.org/officeDocument/2006/relationships" name="Improvements" sheetId="4" r:id="R5c60a897b69b4133"/>
    <x:sheet xmlns:r="http://schemas.openxmlformats.org/officeDocument/2006/relationships" name="Original source" sheetId="5" r:id="Rb6a8a77eeca04d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sz val="10"/>
      <x:color rgb="FF1F2937"/>
      <x:name val="Arial"/>
    </x:font>
    <x:font>
      <x:b/>
      <x:sz val="15"/>
      <x:color rgb="FF20354B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4CF"/>
      </x:patternFill>
    </x:fill>
    <x:fill>
      <x:patternFill patternType="solid">
        <x:fgColor rgb="FFE9EFF4"/>
      </x:patternFill>
    </x:fill>
    <x:fill>
      <x:patternFill patternType="solid">
        <x:fgColor rgb="FF20354B"/>
      </x:patternFill>
    </x:fill>
  </x:fills>
  <x:borders count="2">
    <x:border/>
    <x:border>
      <x:bottom style="thin">
        <x:color rgb="FF20354B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e4eaa24186447f" /><Relationship Type="http://schemas.openxmlformats.org/officeDocument/2006/relationships/theme" Target="/xl/theme/theme1.xml" Id="Ra9180902403f4c4c" /><Relationship Type="http://schemas.microsoft.com/office/2022/11/relationships/FeaturePropertyBag" Target="/xl/featurePropertyBag/featurePropertyBag.xml" Id="R21159ff6f31e4ded" /><Relationship Type="http://schemas.openxmlformats.org/officeDocument/2006/relationships/sharedStrings" Target="/xl/sharedStrings.xml" Id="R5a4ca5f42e654252" /><Relationship Type="http://schemas.openxmlformats.org/officeDocument/2006/relationships/worksheet" Target="/xl/worksheets/sheet1.xml" Id="R6783cdd4cd2540c1" /><Relationship Type="http://schemas.openxmlformats.org/officeDocument/2006/relationships/worksheet" Target="/xl/worksheets/sheet2.xml" Id="Rf17a7378c6824432" /><Relationship Type="http://schemas.openxmlformats.org/officeDocument/2006/relationships/worksheet" Target="/xl/worksheets/sheet3.xml" Id="R0e187beab9fc43bd" /><Relationship Type="http://schemas.openxmlformats.org/officeDocument/2006/relationships/worksheet" Target="/xl/worksheets/sheet4.xml" Id="R5c60a897b69b4133" /><Relationship Type="http://schemas.openxmlformats.org/officeDocument/2006/relationships/worksheet" Target="/xl/worksheets/sheet5.xml" Id="Rb6a8a77eeca04df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54B"/>
  </x:sheetPr>
  <x:sheetViews>
    <x:sheetView showGridLines="0" workbookViewId="0">
      <x:pane xSplit="1" ySplit="13" topLeftCell="B14" activePane="bottomRight" state="frozen"/>
    </x:sheetView>
  </x:sheetViews>
  <x:sheetFormatPr defaultRowHeight="15"/>
  <x:cols>
    <x:col min="1" max="1" width="24" hidden="0" customWidth="1"/>
    <x:col min="2" max="2" width="15" hidden="0" customWidth="1"/>
    <x:col min="3" max="3" width="23" hidden="0" customWidth="1"/>
    <x:col min="4" max="4" width="27" hidden="0" customWidth="1"/>
    <x:col min="5" max="5" width="12" hidden="0" customWidth="1"/>
    <x:col min="6" max="6" width="16" hidden="0" customWidth="1"/>
    <x:col min="7" max="7" width="58" hidden="0" customWidth="1"/>
    <x:col min="8" max="8" width="14" hidden="0" customWidth="1"/>
    <x:col min="9" max="9" width="16" hidden="0" customWidth="1"/>
    <x:col min="10" max="10" width="12" hidden="0" customWidth="1"/>
    <x:col min="11" max="11" width="23" hidden="0" customWidth="1"/>
    <x:col min="12" max="12" width="20" hidden="0" customWidth="1"/>
    <x:col min="13" max="13" width="6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4" t="str">
        <x:v>Testing portfolio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>
      <x:c r="A3" s="2" t="str">
        <x:v>SYNTHETIC EXAMPLE. Run records are fictional; this workbook does not execute checks or authorize a release.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2" t="str">
        <x:v>As of</x:v>
      </x:c>
      <x:c r="B4" s="8" t="n">
        <x:v>46291</x:v>
      </x:c>
      <x:c r="C4" s="2" t="str">
        <x:v>Required revision</x:v>
      </x:c>
      <x:c r="D4" s="9" t="str">
        <x:v>synthetic-release-2</x:v>
      </x:c>
      <x:c r="E4" s="2" t="str">
        <x:v>Max age (days)</x:v>
      </x:c>
      <x:c r="F4" s="9" t="n">
        <x:v>30</x:v>
      </x:c>
      <x:c r="G4" s="2" t="str">
        <x:v>Impact known?</x:v>
      </x:c>
      <x:c r="H4" s="10" t="b">
        <x:v>1</x:v>
      </x:c>
      <x:c r="I4" s="2"/>
      <x:c r="J4" s="2"/>
      <x:c r="K4" s="2"/>
      <x:c r="L4" s="2"/>
      <x:c r="M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>
      <x:c r="A6" s="11" t="str">
        <x:v>Assertion status</x:v>
      </x:c>
      <x:c r="B6" s="11" t="str">
        <x:v>Count</x:v>
      </x:c>
      <x:c r="C6" s="2"/>
      <x:c r="D6" s="11" t="str">
        <x:v>Input status</x:v>
      </x:c>
      <x:c r="E6" s="11" t="str">
        <x:v>Count</x:v>
      </x:c>
      <x:c r="F6" s="2"/>
      <x:c r="G6" s="11" t="str">
        <x:v>Selection effort</x:v>
      </x:c>
      <x:c r="H6" s="11" t="str">
        <x:v>Value</x:v>
      </x:c>
      <x:c r="I6" s="2"/>
      <x:c r="J6" s="2"/>
      <x:c r="K6" s="2"/>
      <x:c r="L6" s="2"/>
      <x:c r="M6" s="2"/>
    </x:row>
    <x:row r="7">
      <x:c r="A7" s="2" t="str">
        <x:v>SUPPORTED</x:v>
      </x:c>
      <x:c r="B7" s="2" t="n">
        <x:f>COUNTIFS(K14:K21,A7)</x:f>
        <x:v>4</x:v>
      </x:c>
      <x:c r="C7" s="2"/>
      <x:c r="D7" s="2" t="str">
        <x:v>Invalid input rows</x:v>
      </x:c>
      <x:c r="E7" s="2" t="n">
        <x:f>COUNTIFS('Runs'!L7:L14,"INVALID")+COUNTIFS(K14:K21,"MISSING_SCOPE_REASON")</x:f>
        <x:v>0</x:v>
      </x:c>
      <x:c r="F7" s="2"/>
      <x:c r="G7" s="2" t="str">
        <x:v>Known selected minutes</x:v>
      </x:c>
      <x:c r="H7" s="2" t="n">
        <x:f>SUMIFS('Checks'!G7:G13,'Checks'!J7:J13,1)</x:f>
        <x:v>12</x:v>
      </x:c>
      <x:c r="I7" s="2"/>
      <x:c r="J7" s="2"/>
      <x:c r="K7" s="2"/>
      <x:c r="L7" s="2"/>
      <x:c r="M7" s="2"/>
    </x:row>
    <x:row r="8">
      <x:c r="A8" s="2" t="str">
        <x:v>OPEN_FAILURE</x:v>
      </x:c>
      <x:c r="B8" s="2" t="n">
        <x:f>COUNTIFS(K14:K21,A8)</x:f>
        <x:v>1</x:v>
      </x:c>
      <x:c r="C8" s="2"/>
      <x:c r="D8" s="2" t="str">
        <x:v>Current supporting runs</x:v>
      </x:c>
      <x:c r="E8" s="2" t="n">
        <x:f>SUM('Runs'!M7:M14)</x:f>
        <x:v>6</x:v>
      </x:c>
      <x:c r="F8" s="2"/>
      <x:c r="G8" s="2" t="str">
        <x:v>Selected with unknown effort</x:v>
      </x:c>
      <x:c r="H8" s="2" t="n">
        <x:f>COUNTIFS('Checks'!K7:K13,"UNKNOWN")</x:f>
        <x:v>1</x:v>
      </x:c>
      <x:c r="I8" s="2"/>
      <x:c r="J8" s="2"/>
      <x:c r="K8" s="2"/>
      <x:c r="L8" s="2"/>
      <x:c r="M8" s="2"/>
    </x:row>
    <x:row r="9">
      <x:c r="A9" s="2" t="str">
        <x:v>UNTESTED</x:v>
      </x:c>
      <x:c r="B9" s="2" t="n">
        <x:f>COUNTIFS(K14:K21,A9)</x:f>
        <x:v>1</x:v>
      </x:c>
      <x:c r="C9" s="2"/>
      <x:c r="D9" s="2" t="str">
        <x:v>Open failures</x:v>
      </x:c>
      <x:c r="E9" s="2" t="n">
        <x:f>SUM('Runs'!N7:N14)</x:f>
        <x:v>1</x:v>
      </x:c>
      <x:c r="F9" s="2"/>
      <x:c r="G9" s="2"/>
      <x:c r="H9" s="2"/>
      <x:c r="I9" s="2"/>
      <x:c r="J9" s="2"/>
      <x:c r="K9" s="2"/>
      <x:c r="L9" s="2"/>
      <x:c r="M9" s="2"/>
    </x:row>
    <x:row r="10">
      <x:c r="A10" s="2" t="str">
        <x:v>UNCERTAIN</x:v>
      </x:c>
      <x:c r="B10" s="2" t="n">
        <x:f>COUNTIFS(K14:K21,A10)</x:f>
        <x:v>1</x:v>
      </x:c>
      <x:c r="C10" s="2"/>
      <x:c r="D10" s="2"/>
      <x:c r="E10" s="2"/>
      <x:c r="F10" s="2"/>
      <x:c r="G10" s="2" t="str">
        <x:v>Amber fields are editable. Fix invalid rows before interpreting totals.</x:v>
      </x:c>
      <x:c r="H10" s="2"/>
      <x:c r="I10" s="2"/>
      <x:c r="J10" s="2"/>
      <x:c r="K10" s="2"/>
      <x:c r="L10" s="2"/>
      <x:c r="M10" s="2"/>
    </x:row>
    <x:row r="11">
      <x:c r="A11" s="2" t="str">
        <x:v>OUT_OF_SCOPE</x:v>
      </x:c>
      <x:c r="B11" s="2" t="n">
        <x:f>COUNTIFS(K14:K21,A11)</x:f>
        <x:v>1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32" customHeight="1">
      <x:c r="A13" s="15" t="str">
        <x:v>Assertion ID</x:v>
      </x:c>
      <x:c r="B13" s="15" t="str">
        <x:v>Service</x:v>
      </x:c>
      <x:c r="C13" s="15" t="str">
        <x:v>Behavior ID</x:v>
      </x:c>
      <x:c r="D13" s="15" t="str">
        <x:v>Level</x:v>
      </x:c>
      <x:c r="E13" s="15" t="str">
        <x:v>Required?</x:v>
      </x:c>
      <x:c r="F13" s="15" t="str">
        <x:v>Inventory complete?</x:v>
      </x:c>
      <x:c r="G13" s="15" t="str">
        <x:v>Assertion</x:v>
      </x:c>
      <x:c r="H13" s="15" t="str">
        <x:v>Current passes</x:v>
      </x:c>
      <x:c r="I13" s="15" t="str">
        <x:v>Open failures</x:v>
      </x:c>
      <x:c r="J13" s="15" t="str">
        <x:v>Check count</x:v>
      </x:c>
      <x:c r="K13" s="15" t="str">
        <x:v>Evidence state</x:v>
      </x:c>
      <x:c r="L13" s="15" t="str">
        <x:v>Reported claim</x:v>
      </x:c>
      <x:c r="M13" s="15" t="str">
        <x:v>Scope reason (if not required)</x:v>
      </x:c>
    </x:row>
    <x:row r="14" ht="58" customHeight="1">
      <x:c r="A14" s="16" t="str">
        <x:v>A01</x:v>
      </x:c>
      <x:c r="B14" s="16" t="str">
        <x:v>ESS</x:v>
      </x:c>
      <x:c r="C14" s="16" t="str">
        <x:v>B01</x:v>
      </x:c>
      <x:c r="D14" s="16" t="str">
        <x:v>unit</x:v>
      </x:c>
      <x:c r="E14" s="17" t="b">
        <x:v>1</x:v>
      </x:c>
      <x:c r="F14" s="17" t="b">
        <x:v>1</x:v>
      </x:c>
      <x:c r="G14" s="16" t="str">
        <x:v>Fictional enrollment request preserves selected course and resulting state</x:v>
      </x:c>
      <x:c r="H14" s="18" t="n">
        <x:f>COUNTIFS('Runs'!C7:C14,A14,'Runs'!M7:M14,1)</x:f>
        <x:v>2</x:v>
      </x:c>
      <x:c r="I14" s="18" t="n">
        <x:f>COUNTIFS('Runs'!C7:C14,A14,'Runs'!N7:N14,1)</x:f>
        <x:v>0</x:v>
      </x:c>
      <x:c r="J14" s="18" t="n">
        <x:f>COUNTIFS('Checks'!B7:B13,A14)</x:f>
        <x:v>2</x:v>
      </x:c>
      <x:c r="K14" s="18" t="str">
        <x:f>IF(COUNTIFS('Runs'!C7:C14,A14,'Runs'!L7:L14,"INVALID")&gt;0,"INVALID_RUN_DATA",IF(NOT(E14),IF(M14="","MISSING_SCOPE_REASON","OUT_OF_SCOPE"),IF(I14&gt;0,"OPEN_FAILURE",IF(H14&gt;0,"SUPPORTED",IF(AND(J14=0,F14),"UNTESTED","UNCERTAIN")))))</x:f>
        <x:v>SUPPORTED</x:v>
      </x:c>
      <x:c r="L14" s="18" t="str">
        <x:v>Covered</x:v>
      </x:c>
      <x:c r="M14" s="16"/>
    </x:row>
    <x:row r="15" ht="58" customHeight="1">
      <x:c r="A15" s="16" t="str">
        <x:v>A02</x:v>
      </x:c>
      <x:c r="B15" s="16" t="str">
        <x:v>ESS</x:v>
      </x:c>
      <x:c r="C15" s="16" t="str">
        <x:v>B01</x:v>
      </x:c>
      <x:c r="D15" s="16" t="str">
        <x:v>integration</x:v>
      </x:c>
      <x:c r="E15" s="17" t="b">
        <x:v>1</x:v>
      </x:c>
      <x:c r="F15" s="17" t="b">
        <x:v>1</x:v>
      </x:c>
      <x:c r="G15" s="16" t="str">
        <x:v>Fictional enrollment request preserves selected course and resulting state</x:v>
      </x:c>
      <x:c r="H15" s="18" t="n">
        <x:f>COUNTIFS('Runs'!C7:C14,A15,'Runs'!M7:M14,1)</x:f>
        <x:v>1</x:v>
      </x:c>
      <x:c r="I15" s="18" t="n">
        <x:f>COUNTIFS('Runs'!C7:C14,A15,'Runs'!N7:N14,1)</x:f>
        <x:v>0</x:v>
      </x:c>
      <x:c r="J15" s="18" t="n">
        <x:f>COUNTIFS('Checks'!B7:B13,A15)</x:f>
        <x:v>1</x:v>
      </x:c>
      <x:c r="K15" s="18" t="str">
        <x:f>IF(COUNTIFS('Runs'!C7:C14,A15,'Runs'!L7:L14,"INVALID")&gt;0,"INVALID_RUN_DATA",IF(NOT(E15),IF(M15="","MISSING_SCOPE_REASON","OUT_OF_SCOPE"),IF(I15&gt;0,"OPEN_FAILURE",IF(H15&gt;0,"SUPPORTED",IF(AND(J15=0,F15),"UNTESTED","UNCERTAIN")))))</x:f>
        <x:v>SUPPORTED</x:v>
      </x:c>
      <x:c r="L15" s="18" t="str">
        <x:v>Covered</x:v>
      </x:c>
      <x:c r="M15" s="16"/>
    </x:row>
    <x:row r="16" ht="58" customHeight="1">
      <x:c r="A16" s="16" t="str">
        <x:v>A03</x:v>
      </x:c>
      <x:c r="B16" s="16" t="str">
        <x:v>ESS</x:v>
      </x:c>
      <x:c r="C16" s="16" t="str">
        <x:v>B01</x:v>
      </x:c>
      <x:c r="D16" s="16" t="str">
        <x:v>end-to-end</x:v>
      </x:c>
      <x:c r="E16" s="17" t="b">
        <x:v>1</x:v>
      </x:c>
      <x:c r="F16" s="17" t="b">
        <x:v>1</x:v>
      </x:c>
      <x:c r="G16" s="16" t="str">
        <x:v>Fictional enrollment request preserves selected course and resulting state</x:v>
      </x:c>
      <x:c r="H16" s="18" t="n">
        <x:f>COUNTIFS('Runs'!C7:C14,A16,'Runs'!M7:M14,1)</x:f>
        <x:v>1</x:v>
      </x:c>
      <x:c r="I16" s="18" t="n">
        <x:f>COUNTIFS('Runs'!C7:C14,A16,'Runs'!N7:N14,1)</x:f>
        <x:v>0</x:v>
      </x:c>
      <x:c r="J16" s="18" t="n">
        <x:f>COUNTIFS('Checks'!B7:B13,A16)</x:f>
        <x:v>1</x:v>
      </x:c>
      <x:c r="K16" s="18" t="str">
        <x:f>IF(COUNTIFS('Runs'!C7:C14,A16,'Runs'!L7:L14,"INVALID")&gt;0,"INVALID_RUN_DATA",IF(NOT(E16),IF(M16="","MISSING_SCOPE_REASON","OUT_OF_SCOPE"),IF(I16&gt;0,"OPEN_FAILURE",IF(H16&gt;0,"SUPPORTED",IF(AND(J16=0,F16),"UNTESTED","UNCERTAIN")))))</x:f>
        <x:v>SUPPORTED</x:v>
      </x:c>
      <x:c r="L16" s="18" t="str">
        <x:v>Covered</x:v>
      </x:c>
      <x:c r="M16" s="16"/>
    </x:row>
    <x:row r="17" ht="58" customHeight="1">
      <x:c r="A17" s="16" t="str">
        <x:v>A04</x:v>
      </x:c>
      <x:c r="B17" s="16" t="str">
        <x:v>RIS</x:v>
      </x:c>
      <x:c r="C17" s="16" t="str">
        <x:v>B02</x:v>
      </x:c>
      <x:c r="D17" s="16" t="str">
        <x:v>contract</x:v>
      </x:c>
      <x:c r="E17" s="17" t="b">
        <x:v>1</x:v>
      </x:c>
      <x:c r="F17" s="17" t="b">
        <x:v>1</x:v>
      </x:c>
      <x:c r="G17" s="16" t="str">
        <x:v>Fictional approved status appears in downstream report</x:v>
      </x:c>
      <x:c r="H17" s="18" t="n">
        <x:f>COUNTIFS('Runs'!C7:C14,A17,'Runs'!M7:M14,1)</x:f>
        <x:v>1</x:v>
      </x:c>
      <x:c r="I17" s="18" t="n">
        <x:f>COUNTIFS('Runs'!C7:C14,A17,'Runs'!N7:N14,1)</x:f>
        <x:v>0</x:v>
      </x:c>
      <x:c r="J17" s="18" t="n">
        <x:f>COUNTIFS('Checks'!B7:B13,A17)</x:f>
        <x:v>1</x:v>
      </x:c>
      <x:c r="K17" s="18" t="str">
        <x:f>IF(COUNTIFS('Runs'!C7:C14,A17,'Runs'!L7:L14,"INVALID")&gt;0,"INVALID_RUN_DATA",IF(NOT(E17),IF(M17="","MISSING_SCOPE_REASON","OUT_OF_SCOPE"),IF(I17&gt;0,"OPEN_FAILURE",IF(H17&gt;0,"SUPPORTED",IF(AND(J17=0,F17),"UNTESTED","UNCERTAIN")))))</x:f>
        <x:v>SUPPORTED</x:v>
      </x:c>
      <x:c r="L17" s="18" t="str">
        <x:v>Covered</x:v>
      </x:c>
      <x:c r="M17" s="16"/>
    </x:row>
    <x:row r="18" ht="58" customHeight="1">
      <x:c r="A18" s="16" t="str">
        <x:v>A05</x:v>
      </x:c>
      <x:c r="B18" s="16" t="str">
        <x:v>RIS</x:v>
      </x:c>
      <x:c r="C18" s="16" t="str">
        <x:v>B02</x:v>
      </x:c>
      <x:c r="D18" s="16" t="str">
        <x:v>end-to-end</x:v>
      </x:c>
      <x:c r="E18" s="17" t="b">
        <x:v>1</x:v>
      </x:c>
      <x:c r="F18" s="17" t="b">
        <x:v>1</x:v>
      </x:c>
      <x:c r="G18" s="16" t="str">
        <x:v>Fictional approved status appears in downstream report</x:v>
      </x:c>
      <x:c r="H18" s="18" t="n">
        <x:f>COUNTIFS('Runs'!C7:C14,A18,'Runs'!M7:M14,1)</x:f>
        <x:v>0</x:v>
      </x:c>
      <x:c r="I18" s="18" t="n">
        <x:f>COUNTIFS('Runs'!C7:C14,A18,'Runs'!N7:N14,1)</x:f>
        <x:v>0</x:v>
      </x:c>
      <x:c r="J18" s="18" t="n">
        <x:f>COUNTIFS('Checks'!B7:B13,A18)</x:f>
        <x:v>0</x:v>
      </x:c>
      <x:c r="K18" s="18" t="str">
        <x:f>IF(COUNTIFS('Runs'!C7:C14,A18,'Runs'!L7:L14,"INVALID")&gt;0,"INVALID_RUN_DATA",IF(NOT(E18),IF(M18="","MISSING_SCOPE_REASON","OUT_OF_SCOPE"),IF(I18&gt;0,"OPEN_FAILURE",IF(H18&gt;0,"SUPPORTED",IF(AND(J18=0,F18),"UNTESTED","UNCERTAIN")))))</x:f>
        <x:v>UNTESTED</x:v>
      </x:c>
      <x:c r="L18" s="18" t="str">
        <x:v>Gap</x:v>
      </x:c>
      <x:c r="M18" s="16"/>
    </x:row>
    <x:row r="19" ht="58" customHeight="1">
      <x:c r="A19" s="16" t="str">
        <x:v>A06</x:v>
      </x:c>
      <x:c r="B19" s="16" t="str">
        <x:v>IAM</x:v>
      </x:c>
      <x:c r="C19" s="16" t="str">
        <x:v>B03</x:v>
      </x:c>
      <x:c r="D19" s="16" t="str">
        <x:v>end-to-end</x:v>
      </x:c>
      <x:c r="E19" s="17" t="b">
        <x:v>1</x:v>
      </x:c>
      <x:c r="F19" s="17" t="b">
        <x:v>1</x:v>
      </x:c>
      <x:c r="G19" s="16" t="str">
        <x:v>Fictional directory profile update appears in representative dependent application</x:v>
      </x:c>
      <x:c r="H19" s="18" t="n">
        <x:f>COUNTIFS('Runs'!C7:C14,A19,'Runs'!M7:M14,1)</x:f>
        <x:v>0</x:v>
      </x:c>
      <x:c r="I19" s="18" t="n">
        <x:f>COUNTIFS('Runs'!C7:C14,A19,'Runs'!N7:N14,1)</x:f>
        <x:v>0</x:v>
      </x:c>
      <x:c r="J19" s="18" t="n">
        <x:f>COUNTIFS('Checks'!B7:B13,A19)</x:f>
        <x:v>1</x:v>
      </x:c>
      <x:c r="K19" s="18" t="str">
        <x:f>IF(COUNTIFS('Runs'!C7:C14,A19,'Runs'!L7:L14,"INVALID")&gt;0,"INVALID_RUN_DATA",IF(NOT(E19),IF(M19="","MISSING_SCOPE_REASON","OUT_OF_SCOPE"),IF(I19&gt;0,"OPEN_FAILURE",IF(H19&gt;0,"SUPPORTED",IF(AND(J19=0,F19),"UNTESTED","UNCERTAIN")))))</x:f>
        <x:v>UNCERTAIN</x:v>
      </x:c>
      <x:c r="L19" s="18" t="str">
        <x:v>Partial</x:v>
      </x:c>
      <x:c r="M19" s="16"/>
    </x:row>
    <x:row r="20" ht="58" customHeight="1">
      <x:c r="A20" s="16" t="str">
        <x:v>A07</x:v>
      </x:c>
      <x:c r="B20" s="16" t="str">
        <x:v>Shared</x:v>
      </x:c>
      <x:c r="C20" s="16" t="str">
        <x:v>B04</x:v>
      </x:c>
      <x:c r="D20" s="16" t="str">
        <x:v>integration</x:v>
      </x:c>
      <x:c r="E20" s="17" t="b">
        <x:v>1</x:v>
      </x:c>
      <x:c r="F20" s="17" t="b">
        <x:v>1</x:v>
      </x:c>
      <x:c r="G20" s="16" t="str">
        <x:v>Fictional notification service accepts ESS and RIS requests</x:v>
      </x:c>
      <x:c r="H20" s="18" t="n">
        <x:f>COUNTIFS('Runs'!C7:C14,A20,'Runs'!M7:M14,1)</x:f>
        <x:v>1</x:v>
      </x:c>
      <x:c r="I20" s="18" t="n">
        <x:f>COUNTIFS('Runs'!C7:C14,A20,'Runs'!N7:N14,1)</x:f>
        <x:v>1</x:v>
      </x:c>
      <x:c r="J20" s="18" t="n">
        <x:f>COUNTIFS('Checks'!B7:B13,A20)</x:f>
        <x:v>1</x:v>
      </x:c>
      <x:c r="K20" s="18" t="str">
        <x:f>IF(COUNTIFS('Runs'!C7:C14,A20,'Runs'!L7:L14,"INVALID")&gt;0,"INVALID_RUN_DATA",IF(NOT(E20),IF(M20="","MISSING_SCOPE_REASON","OUT_OF_SCOPE"),IF(I20&gt;0,"OPEN_FAILURE",IF(H20&gt;0,"SUPPORTED",IF(AND(J20=0,F20),"UNTESTED","UNCERTAIN")))))</x:f>
        <x:v>OPEN_FAILURE</x:v>
      </x:c>
      <x:c r="L20" s="18" t="str">
        <x:v>Covered</x:v>
      </x:c>
      <x:c r="M20" s="16"/>
    </x:row>
    <x:row r="21" ht="58" customHeight="1">
      <x:c r="A21" s="16" t="str">
        <x:v>A08</x:v>
      </x:c>
      <x:c r="B21" s="16" t="str">
        <x:v>ESS</x:v>
      </x:c>
      <x:c r="C21" s="16" t="str">
        <x:v>B01</x:v>
      </x:c>
      <x:c r="D21" s="16" t="str">
        <x:v>user-acceptance</x:v>
      </x:c>
      <x:c r="E21" s="17" t="b">
        <x:v>0</x:v>
      </x:c>
      <x:c r="F21" s="17" t="b">
        <x:v>1</x:v>
      </x:c>
      <x:c r="G21" s="16" t="str">
        <x:v>Business acceptance of changed enrollment workflow</x:v>
      </x:c>
      <x:c r="H21" s="18" t="n">
        <x:f>COUNTIFS('Runs'!C7:C14,A21,'Runs'!M7:M14,1)</x:f>
        <x:v>0</x:v>
      </x:c>
      <x:c r="I21" s="18" t="n">
        <x:f>COUNTIFS('Runs'!C7:C14,A21,'Runs'!N7:N14,1)</x:f>
        <x:v>0</x:v>
      </x:c>
      <x:c r="J21" s="18" t="n">
        <x:f>COUNTIFS('Checks'!B7:B13,A21)</x:f>
        <x:v>0</x:v>
      </x:c>
      <x:c r="K21" s="18" t="str">
        <x:f>IF(COUNTIFS('Runs'!C7:C14,A21,'Runs'!L7:L14,"INVALID")&gt;0,"INVALID_RUN_DATA",IF(NOT(E21),IF(M21="","MISSING_SCOPE_REASON","OUT_OF_SCOPE"),IF(I21&gt;0,"OPEN_FAILURE",IF(H21&gt;0,"SUPPORTED",IF(AND(J21=0,F21),"UNTESTED","UNCERTAIN")))))</x:f>
        <x:v>OUT_OF_SCOPE</x:v>
      </x:c>
      <x:c r="L21" s="18" t="str">
        <x:v>not supplied</x:v>
      </x:c>
      <x:c r="M21" s="16" t="str">
        <x:v>Fictional unchanged workflow; acceptance assessment outside this demonstration.</x:v>
      </x:c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>
      <x:c r="A23" s="2" t="str">
        <x:v>SUPPORTED is limited to the assertion and recorded revision. A later pass does not resolve an earlier failure.</x:v>
      </x:c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>
      <x:c r="A24" s="2" t="str">
        <x:v>Inventory completeness and requirement scope are declarations. Record scope reasons and all claim boundaries in the JSON input.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</x:sheetData>
  <x:conditionalFormatting sqref="K14:K21">
    <x:cfRule type="containsText" dxfId="0" priority="1" operator="containsText" text="OPEN_FAILURE"/>
    <x:cfRule type="containsText" dxfId="1" priority="2" operator="containsText" text="INVALI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20" hidden="0" customWidth="1"/>
    <x:col min="5" max="5" width="40" hidden="0" customWidth="1"/>
    <x:col min="6" max="6" width="24" hidden="0" customWidth="1"/>
    <x:col min="7" max="7" width="16" hidden="0" customWidth="1"/>
    <x:col min="8" max="8" width="18" hidden="0" customWidth="1"/>
    <x:col min="9" max="9" width="16" hidden="0" customWidth="1"/>
    <x:col min="10" max="10" width="15" hidden="0" customWidth="1"/>
    <x:col min="11" max="11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4" t="str">
        <x:v>Declared check inventory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>
      <x:c r="A3" s="2" t="str">
        <x:v>SYNTHETIC. A repeated equivalence key is a consolidation candidate only when assertion, layer and boundary also match.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2" t="str">
        <x:v>Changed scope is an editable declaration per check. Unknown impact selects all checks; unresolved failures remain selected.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2" customHeight="1">
      <x:c r="A6" s="15" t="str">
        <x:v>Check ID</x:v>
      </x:c>
      <x:c r="B6" s="15" t="str">
        <x:v>Assertion ID</x:v>
      </x:c>
      <x:c r="C6" s="15" t="str">
        <x:v>Behavior ID</x:v>
      </x:c>
      <x:c r="D6" s="15" t="str">
        <x:v>Level</x:v>
      </x:c>
      <x:c r="E6" s="15" t="str">
        <x:v>Boundary</x:v>
      </x:c>
      <x:c r="F6" s="15" t="str">
        <x:v>Equivalence key</x:v>
      </x:c>
      <x:c r="G6" s="15" t="str">
        <x:v>Effort minutes</x:v>
      </x:c>
      <x:c r="H6" s="15" t="str">
        <x:v>In changed scope?</x:v>
      </x:c>
      <x:c r="I6" s="15" t="str">
        <x:v>Open failures</x:v>
      </x:c>
      <x:c r="J6" s="15" t="str">
        <x:v>Selected (1=yes)</x:v>
      </x:c>
      <x:c r="K6" s="15" t="str">
        <x:v>Selected effort</x:v>
      </x:c>
    </x:row>
    <x:row r="7" ht="42" customHeight="1">
      <x:c r="A7" s="16" t="str">
        <x:v>C01</x:v>
      </x:c>
      <x:c r="B7" s="16" t="str">
        <x:v>A01</x:v>
      </x:c>
      <x:c r="C7" s="16" t="str">
        <x:v>B01</x:v>
      </x:c>
      <x:c r="D7" s="16" t="str">
        <x:v>unit</x:v>
      </x:c>
      <x:c r="E7" s="16" t="str">
        <x:v>unit representative boundary</x:v>
      </x:c>
      <x:c r="F7" s="16" t="str">
        <x:v>same-rule</x:v>
      </x:c>
      <x:c r="G7" s="16" t="n">
        <x:v>3</x:v>
      </x:c>
      <x:c r="H7" s="17" t="b">
        <x:v>1</x:v>
      </x:c>
      <x:c r="I7" s="18" t="n">
        <x:f>COUNTIFS('Runs'!B7:B14,A7,'Runs'!N7:N14,1)</x:f>
        <x:v>0</x:v>
      </x:c>
      <x:c r="J7" s="18" t="n">
        <x:f>IF(OR(NOT('Portfolio'!$H$4),H7,I7&gt;0),1,0)</x:f>
        <x:v>1</x:v>
      </x:c>
      <x:c r="K7" s="18" t="n">
        <x:f>IF(J7,IF(ISNUMBER(G7),G7,"UNKNOWN"),"not selected")</x:f>
        <x:v>3</x:v>
      </x:c>
    </x:row>
    <x:row r="8" ht="42" customHeight="1">
      <x:c r="A8" s="16" t="str">
        <x:v>C02</x:v>
      </x:c>
      <x:c r="B8" s="16" t="str">
        <x:v>A02</x:v>
      </x:c>
      <x:c r="C8" s="16" t="str">
        <x:v>B01</x:v>
      </x:c>
      <x:c r="D8" s="16" t="str">
        <x:v>integration</x:v>
      </x:c>
      <x:c r="E8" s="16" t="str">
        <x:v>integration representative boundary</x:v>
      </x:c>
      <x:c r="F8" s="16"/>
      <x:c r="G8" s="16" t="n">
        <x:v>3</x:v>
      </x:c>
      <x:c r="H8" s="17" t="b">
        <x:v>1</x:v>
      </x:c>
      <x:c r="I8" s="18" t="n">
        <x:f>COUNTIFS('Runs'!B7:B14,A8,'Runs'!N7:N14,1)</x:f>
        <x:v>0</x:v>
      </x:c>
      <x:c r="J8" s="18" t="n">
        <x:f>IF(OR(NOT('Portfolio'!$H$4),H8,I8&gt;0),1,0)</x:f>
        <x:v>1</x:v>
      </x:c>
      <x:c r="K8" s="18" t="n">
        <x:f>IF(J8,IF(ISNUMBER(G8),G8,"UNKNOWN"),"not selected")</x:f>
        <x:v>3</x:v>
      </x:c>
    </x:row>
    <x:row r="9" ht="42" customHeight="1">
      <x:c r="A9" s="16" t="str">
        <x:v>C03</x:v>
      </x:c>
      <x:c r="B9" s="16" t="str">
        <x:v>A03</x:v>
      </x:c>
      <x:c r="C9" s="16" t="str">
        <x:v>B01</x:v>
      </x:c>
      <x:c r="D9" s="16" t="str">
        <x:v>end-to-end</x:v>
      </x:c>
      <x:c r="E9" s="16" t="str">
        <x:v>end-to-end representative boundary</x:v>
      </x:c>
      <x:c r="F9" s="16"/>
      <x:c r="G9" s="16"/>
      <x:c r="H9" s="17" t="b">
        <x:v>1</x:v>
      </x:c>
      <x:c r="I9" s="18" t="n">
        <x:f>COUNTIFS('Runs'!B7:B14,A9,'Runs'!N7:N14,1)</x:f>
        <x:v>0</x:v>
      </x:c>
      <x:c r="J9" s="18" t="n">
        <x:f>IF(OR(NOT('Portfolio'!$H$4),H9,I9&gt;0),1,0)</x:f>
        <x:v>1</x:v>
      </x:c>
      <x:c r="K9" s="18" t="str">
        <x:f>IF(J9,IF(ISNUMBER(G9),G9,"UNKNOWN"),"not selected")</x:f>
        <x:v>UNKNOWN</x:v>
      </x:c>
    </x:row>
    <x:row r="10" ht="42" customHeight="1">
      <x:c r="A10" s="16" t="str">
        <x:v>C04</x:v>
      </x:c>
      <x:c r="B10" s="16" t="str">
        <x:v>A04</x:v>
      </x:c>
      <x:c r="C10" s="16" t="str">
        <x:v>B02</x:v>
      </x:c>
      <x:c r="D10" s="16" t="str">
        <x:v>contract</x:v>
      </x:c>
      <x:c r="E10" s="16" t="str">
        <x:v>contract representative boundary</x:v>
      </x:c>
      <x:c r="F10" s="16"/>
      <x:c r="G10" s="16" t="n">
        <x:v>3</x:v>
      </x:c>
      <x:c r="H10" s="17" t="b">
        <x:v>0</x:v>
      </x:c>
      <x:c r="I10" s="18" t="n">
        <x:f>COUNTIFS('Runs'!B7:B14,A10,'Runs'!N7:N14,1)</x:f>
        <x:v>0</x:v>
      </x:c>
      <x:c r="J10" s="18" t="n">
        <x:f>IF(OR(NOT('Portfolio'!$H$4),H10,I10&gt;0),1,0)</x:f>
        <x:v>0</x:v>
      </x:c>
      <x:c r="K10" s="18" t="str">
        <x:f>IF(J10,IF(ISNUMBER(G10),G10,"UNKNOWN"),"not selected")</x:f>
        <x:v>not selected</x:v>
      </x:c>
    </x:row>
    <x:row r="11" ht="42" customHeight="1">
      <x:c r="A11" s="16" t="str">
        <x:v>C06</x:v>
      </x:c>
      <x:c r="B11" s="16" t="str">
        <x:v>A06</x:v>
      </x:c>
      <x:c r="C11" s="16" t="str">
        <x:v>B03</x:v>
      </x:c>
      <x:c r="D11" s="16" t="str">
        <x:v>end-to-end</x:v>
      </x:c>
      <x:c r="E11" s="16" t="str">
        <x:v>end-to-end representative boundary</x:v>
      </x:c>
      <x:c r="F11" s="16"/>
      <x:c r="G11" s="16" t="n">
        <x:v>3</x:v>
      </x:c>
      <x:c r="H11" s="17" t="b">
        <x:v>0</x:v>
      </x:c>
      <x:c r="I11" s="18" t="n">
        <x:f>COUNTIFS('Runs'!B7:B14,A11,'Runs'!N7:N14,1)</x:f>
        <x:v>0</x:v>
      </x:c>
      <x:c r="J11" s="18" t="n">
        <x:f>IF(OR(NOT('Portfolio'!$H$4),H11,I11&gt;0),1,0)</x:f>
        <x:v>0</x:v>
      </x:c>
      <x:c r="K11" s="18" t="str">
        <x:f>IF(J11,IF(ISNUMBER(G11),G11,"UNKNOWN"),"not selected")</x:f>
        <x:v>not selected</x:v>
      </x:c>
    </x:row>
    <x:row r="12" ht="42" customHeight="1">
      <x:c r="A12" s="16" t="str">
        <x:v>C07</x:v>
      </x:c>
      <x:c r="B12" s="16" t="str">
        <x:v>A07</x:v>
      </x:c>
      <x:c r="C12" s="16" t="str">
        <x:v>B04</x:v>
      </x:c>
      <x:c r="D12" s="16" t="str">
        <x:v>integration</x:v>
      </x:c>
      <x:c r="E12" s="16" t="str">
        <x:v>integration representative boundary</x:v>
      </x:c>
      <x:c r="F12" s="16"/>
      <x:c r="G12" s="16" t="n">
        <x:v>3</x:v>
      </x:c>
      <x:c r="H12" s="17" t="b">
        <x:v>0</x:v>
      </x:c>
      <x:c r="I12" s="18" t="n">
        <x:f>COUNTIFS('Runs'!B7:B14,A12,'Runs'!N7:N14,1)</x:f>
        <x:v>1</x:v>
      </x:c>
      <x:c r="J12" s="18" t="n">
        <x:f>IF(OR(NOT('Portfolio'!$H$4),H12,I12&gt;0),1,0)</x:f>
        <x:v>1</x:v>
      </x:c>
      <x:c r="K12" s="18" t="n">
        <x:f>IF(J12,IF(ISNUMBER(G12),G12,"UNKNOWN"),"not selected")</x:f>
        <x:v>3</x:v>
      </x:c>
    </x:row>
    <x:row r="13" ht="42" customHeight="1">
      <x:c r="A13" s="16" t="str">
        <x:v>C08</x:v>
      </x:c>
      <x:c r="B13" s="16" t="str">
        <x:v>A01</x:v>
      </x:c>
      <x:c r="C13" s="16" t="str">
        <x:v>B01</x:v>
      </x:c>
      <x:c r="D13" s="16" t="str">
        <x:v>unit</x:v>
      </x:c>
      <x:c r="E13" s="16" t="str">
        <x:v>unit representative boundary</x:v>
      </x:c>
      <x:c r="F13" s="16" t="str">
        <x:v>same-rule</x:v>
      </x:c>
      <x:c r="G13" s="16" t="n">
        <x:v>3</x:v>
      </x:c>
      <x:c r="H13" s="17" t="b">
        <x:v>1</x:v>
      </x:c>
      <x:c r="I13" s="18" t="n">
        <x:f>COUNTIFS('Runs'!B7:B14,A13,'Runs'!N7:N14,1)</x:f>
        <x:v>0</x:v>
      </x:c>
      <x:c r="J13" s="18" t="n">
        <x:f>IF(OR(NOT('Portfolio'!$H$4),H13,I13&gt;0),1,0)</x:f>
        <x:v>1</x:v>
      </x:c>
      <x:c r="K13" s="18" t="n">
        <x:f>IF(J13,IF(ISNUMBER(G13),G13,"UNKNOWN"),"not selected")</x:f>
        <x:v>3</x:v>
      </x:c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4" hidden="0" customWidth="1"/>
    <x:col min="5" max="5" width="25" hidden="0" customWidth="1"/>
    <x:col min="6" max="6" width="14" hidden="0" customWidth="1"/>
    <x:col min="7" max="7" width="13" hidden="0" customWidth="1"/>
    <x:col min="8" max="8" width="39" hidden="0" customWidth="1"/>
    <x:col min="9" max="9" width="15" hidden="0" customWidth="1"/>
    <x:col min="10" max="10" width="35" hidden="0" customWidth="1"/>
    <x:col min="11" max="11" width="32" hidden="0" customWidth="1"/>
    <x:col min="12" max="12" width="14" hidden="0" customWidth="1"/>
    <x:col min="13" max="13" width="17" hidden="0" customWidth="1"/>
    <x:col min="14" max="14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4" t="str">
        <x:v>Run evidence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>
      <x:c r="A3" s="2" t="str">
        <x:v>SYNTHETIC. Every run is bound to one declared check, assertion and behavior. Evidence locators are not independently authenticated.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2" t="str">
        <x:v>A failure closes only with a resolution date, source and disposition. Historical failures remain visible across revisions.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32" customHeight="1">
      <x:c r="A6" s="15" t="str">
        <x:v>Run ID</x:v>
      </x:c>
      <x:c r="B6" s="15" t="str">
        <x:v>Check ID</x:v>
      </x:c>
      <x:c r="C6" s="15" t="str">
        <x:v>Assertion ID</x:v>
      </x:c>
      <x:c r="D6" s="15" t="str">
        <x:v>Behavior ID</x:v>
      </x:c>
      <x:c r="E6" s="15" t="str">
        <x:v>Revision</x:v>
      </x:c>
      <x:c r="F6" s="15" t="str">
        <x:v>Observed on</x:v>
      </x:c>
      <x:c r="G6" s="15" t="str">
        <x:v>Result</x:v>
      </x:c>
      <x:c r="H6" s="15" t="str">
        <x:v>Evidence locator</x:v>
      </x:c>
      <x:c r="I6" s="15" t="str">
        <x:v>Resolved on</x:v>
      </x:c>
      <x:c r="J6" s="15" t="str">
        <x:v>Resolution source</x:v>
      </x:c>
      <x:c r="K6" s="15" t="str">
        <x:v>Disposition</x:v>
      </x:c>
      <x:c r="L6" s="15" t="str">
        <x:v>Input validity</x:v>
      </x:c>
      <x:c r="M6" s="15" t="str">
        <x:v>Current support (1=yes)</x:v>
      </x:c>
      <x:c r="N6" s="15" t="str">
        <x:v>Open failure (1=yes)</x:v>
      </x:c>
    </x:row>
    <x:row r="7" ht="54" customHeight="1">
      <x:c r="A7" s="16" t="str">
        <x:v>R01</x:v>
      </x:c>
      <x:c r="B7" s="16" t="str">
        <x:v>C01</x:v>
      </x:c>
      <x:c r="C7" s="16" t="str">
        <x:v>A01</x:v>
      </x:c>
      <x:c r="D7" s="16" t="str">
        <x:v>B01</x:v>
      </x:c>
      <x:c r="E7" s="16" t="str">
        <x:v>synthetic-release-2</x:v>
      </x:c>
      <x:c r="F7" s="19" t="n">
        <x:v>46290</x:v>
      </x:c>
      <x:c r="G7" s="16" t="str">
        <x:v>pass</x:v>
      </x:c>
      <x:c r="H7" s="16" t="str">
        <x:v>synthetic:run-records/C01</x:v>
      </x:c>
      <x:c r="I7" s="19"/>
      <x:c r="J7" s="16"/>
      <x:c r="K7" s="16"/>
      <x:c r="L7" s="18" t="str">
        <x:f>IF(AND(A7&lt;&gt;"",COUNTIFS(A7:A14,A7)=1,COUNTIFS('Checks'!A7:A13,B7,'Checks'!B7:B13,C7,'Checks'!C7:C13,D7)=1,ISNUMBER(F7),F7&lt;='Portfolio'!$B$4,E7&lt;&gt;"",H7&lt;&gt;"",OR(G7="pass",G7="fail",G7="blocked",G7="unknown"),OR(AND(I7="",J7="",K7=""),AND(G7="fail",ISNUMBER(I7),I7&gt;=F7,I7&lt;='Portfolio'!$B$4,J7&lt;&gt;"",K7&lt;&gt;""))),"VALID","INVALID")</x:f>
        <x:v>VALID</x:v>
      </x:c>
      <x:c r="M7" s="18" t="n">
        <x:f>IF(AND(L7="VALID",G7="pass",E7='Portfolio'!$D$4,F7&gt;='Portfolio'!$B$4-'Portfolio'!$F$4),1,0)</x:f>
        <x:v>1</x:v>
      </x:c>
      <x:c r="N7" s="18" t="n">
        <x:f>IF(AND(G7="fail",OR(I7="",L7="INVALID")),1,0)</x:f>
        <x:v>0</x:v>
      </x:c>
    </x:row>
    <x:row r="8" ht="54" customHeight="1">
      <x:c r="A8" s="16" t="str">
        <x:v>R02</x:v>
      </x:c>
      <x:c r="B8" s="16" t="str">
        <x:v>C02</x:v>
      </x:c>
      <x:c r="C8" s="16" t="str">
        <x:v>A02</x:v>
      </x:c>
      <x:c r="D8" s="16" t="str">
        <x:v>B01</x:v>
      </x:c>
      <x:c r="E8" s="16" t="str">
        <x:v>synthetic-release-2</x:v>
      </x:c>
      <x:c r="F8" s="19" t="n">
        <x:v>46290</x:v>
      </x:c>
      <x:c r="G8" s="16" t="str">
        <x:v>pass</x:v>
      </x:c>
      <x:c r="H8" s="16" t="str">
        <x:v>synthetic:run-records/C02</x:v>
      </x:c>
      <x:c r="I8" s="19"/>
      <x:c r="J8" s="16"/>
      <x:c r="K8" s="16"/>
      <x:c r="L8" s="18" t="str">
        <x:f>IF(AND(A8&lt;&gt;"",COUNTIFS(A7:A14,A8)=1,COUNTIFS('Checks'!A7:A13,B8,'Checks'!B7:B13,C8,'Checks'!C7:C13,D8)=1,ISNUMBER(F8),F8&lt;='Portfolio'!$B$4,E8&lt;&gt;"",H8&lt;&gt;"",OR(G8="pass",G8="fail",G8="blocked",G8="unknown"),OR(AND(I8="",J8="",K8=""),AND(G8="fail",ISNUMBER(I8),I8&gt;=F8,I8&lt;='Portfolio'!$B$4,J8&lt;&gt;"",K8&lt;&gt;""))),"VALID","INVALID")</x:f>
        <x:v>VALID</x:v>
      </x:c>
      <x:c r="M8" s="18" t="n">
        <x:f>IF(AND(L8="VALID",G8="pass",E8='Portfolio'!$D$4,F8&gt;='Portfolio'!$B$4-'Portfolio'!$F$4),1,0)</x:f>
        <x:v>1</x:v>
      </x:c>
      <x:c r="N8" s="18" t="n">
        <x:f>IF(AND(G8="fail",OR(I8="",L8="INVALID")),1,0)</x:f>
        <x:v>0</x:v>
      </x:c>
    </x:row>
    <x:row r="9" ht="54" customHeight="1">
      <x:c r="A9" s="16" t="str">
        <x:v>R03</x:v>
      </x:c>
      <x:c r="B9" s="16" t="str">
        <x:v>C03</x:v>
      </x:c>
      <x:c r="C9" s="16" t="str">
        <x:v>A03</x:v>
      </x:c>
      <x:c r="D9" s="16" t="str">
        <x:v>B01</x:v>
      </x:c>
      <x:c r="E9" s="16" t="str">
        <x:v>synthetic-release-2</x:v>
      </x:c>
      <x:c r="F9" s="19" t="n">
        <x:v>46290</x:v>
      </x:c>
      <x:c r="G9" s="16" t="str">
        <x:v>pass</x:v>
      </x:c>
      <x:c r="H9" s="16" t="str">
        <x:v>synthetic:run-records/C03</x:v>
      </x:c>
      <x:c r="I9" s="19"/>
      <x:c r="J9" s="16"/>
      <x:c r="K9" s="16"/>
      <x:c r="L9" s="18" t="str">
        <x:f>IF(AND(A9&lt;&gt;"",COUNTIFS(A7:A14,A9)=1,COUNTIFS('Checks'!A7:A13,B9,'Checks'!B7:B13,C9,'Checks'!C7:C13,D9)=1,ISNUMBER(F9),F9&lt;='Portfolio'!$B$4,E9&lt;&gt;"",H9&lt;&gt;"",OR(G9="pass",G9="fail",G9="blocked",G9="unknown"),OR(AND(I9="",J9="",K9=""),AND(G9="fail",ISNUMBER(I9),I9&gt;=F9,I9&lt;='Portfolio'!$B$4,J9&lt;&gt;"",K9&lt;&gt;""))),"VALID","INVALID")</x:f>
        <x:v>VALID</x:v>
      </x:c>
      <x:c r="M9" s="18" t="n">
        <x:f>IF(AND(L9="VALID",G9="pass",E9='Portfolio'!$D$4,F9&gt;='Portfolio'!$B$4-'Portfolio'!$F$4),1,0)</x:f>
        <x:v>1</x:v>
      </x:c>
      <x:c r="N9" s="18" t="n">
        <x:f>IF(AND(G9="fail",OR(I9="",L9="INVALID")),1,0)</x:f>
        <x:v>0</x:v>
      </x:c>
    </x:row>
    <x:row r="10" ht="54" customHeight="1">
      <x:c r="A10" s="16" t="str">
        <x:v>R04</x:v>
      </x:c>
      <x:c r="B10" s="16" t="str">
        <x:v>C04</x:v>
      </x:c>
      <x:c r="C10" s="16" t="str">
        <x:v>A04</x:v>
      </x:c>
      <x:c r="D10" s="16" t="str">
        <x:v>B02</x:v>
      </x:c>
      <x:c r="E10" s="16" t="str">
        <x:v>synthetic-release-2</x:v>
      </x:c>
      <x:c r="F10" s="19" t="n">
        <x:v>46290</x:v>
      </x:c>
      <x:c r="G10" s="16" t="str">
        <x:v>pass</x:v>
      </x:c>
      <x:c r="H10" s="16" t="str">
        <x:v>synthetic:run-records/C04</x:v>
      </x:c>
      <x:c r="I10" s="19"/>
      <x:c r="J10" s="16"/>
      <x:c r="K10" s="16"/>
      <x:c r="L10" s="18" t="str">
        <x:f>IF(AND(A10&lt;&gt;"",COUNTIFS(A7:A14,A10)=1,COUNTIFS('Checks'!A7:A13,B10,'Checks'!B7:B13,C10,'Checks'!C7:C13,D10)=1,ISNUMBER(F10),F10&lt;='Portfolio'!$B$4,E10&lt;&gt;"",H10&lt;&gt;"",OR(G10="pass",G10="fail",G10="blocked",G10="unknown"),OR(AND(I10="",J10="",K10=""),AND(G10="fail",ISNUMBER(I10),I10&gt;=F10,I10&lt;='Portfolio'!$B$4,J10&lt;&gt;"",K10&lt;&gt;""))),"VALID","INVALID")</x:f>
        <x:v>VALID</x:v>
      </x:c>
      <x:c r="M10" s="18" t="n">
        <x:f>IF(AND(L10="VALID",G10="pass",E10='Portfolio'!$D$4,F10&gt;='Portfolio'!$B$4-'Portfolio'!$F$4),1,0)</x:f>
        <x:v>1</x:v>
      </x:c>
      <x:c r="N10" s="18" t="n">
        <x:f>IF(AND(G10="fail",OR(I10="",L10="INVALID")),1,0)</x:f>
        <x:v>0</x:v>
      </x:c>
    </x:row>
    <x:row r="11" ht="54" customHeight="1">
      <x:c r="A11" s="16" t="str">
        <x:v>R06</x:v>
      </x:c>
      <x:c r="B11" s="16" t="str">
        <x:v>C06</x:v>
      </x:c>
      <x:c r="C11" s="16" t="str">
        <x:v>A06</x:v>
      </x:c>
      <x:c r="D11" s="16" t="str">
        <x:v>B03</x:v>
      </x:c>
      <x:c r="E11" s="16" t="str">
        <x:v>synthetic-release-2</x:v>
      </x:c>
      <x:c r="F11" s="19" t="n">
        <x:v>46235</x:v>
      </x:c>
      <x:c r="G11" s="16" t="str">
        <x:v>pass</x:v>
      </x:c>
      <x:c r="H11" s="16" t="str">
        <x:v>synthetic:run-records/C06</x:v>
      </x:c>
      <x:c r="I11" s="19"/>
      <x:c r="J11" s="16"/>
      <x:c r="K11" s="16"/>
      <x:c r="L11" s="18" t="str">
        <x:f>IF(AND(A11&lt;&gt;"",COUNTIFS(A7:A14,A11)=1,COUNTIFS('Checks'!A7:A13,B11,'Checks'!B7:B13,C11,'Checks'!C7:C13,D11)=1,ISNUMBER(F11),F11&lt;='Portfolio'!$B$4,E11&lt;&gt;"",H11&lt;&gt;"",OR(G11="pass",G11="fail",G11="blocked",G11="unknown"),OR(AND(I11="",J11="",K11=""),AND(G11="fail",ISNUMBER(I11),I11&gt;=F11,I11&lt;='Portfolio'!$B$4,J11&lt;&gt;"",K11&lt;&gt;""))),"VALID","INVALID")</x:f>
        <x:v>VALID</x:v>
      </x:c>
      <x:c r="M11" s="18" t="n">
        <x:f>IF(AND(L11="VALID",G11="pass",E11='Portfolio'!$D$4,F11&gt;='Portfolio'!$B$4-'Portfolio'!$F$4),1,0)</x:f>
        <x:v>0</x:v>
      </x:c>
      <x:c r="N11" s="18" t="n">
        <x:f>IF(AND(G11="fail",OR(I11="",L11="INVALID")),1,0)</x:f>
        <x:v>0</x:v>
      </x:c>
    </x:row>
    <x:row r="12" ht="54" customHeight="1">
      <x:c r="A12" s="16" t="str">
        <x:v>R07</x:v>
      </x:c>
      <x:c r="B12" s="16" t="str">
        <x:v>C07</x:v>
      </x:c>
      <x:c r="C12" s="16" t="str">
        <x:v>A07</x:v>
      </x:c>
      <x:c r="D12" s="16" t="str">
        <x:v>B04</x:v>
      </x:c>
      <x:c r="E12" s="16" t="str">
        <x:v>synthetic-release-2</x:v>
      </x:c>
      <x:c r="F12" s="19" t="n">
        <x:v>46290</x:v>
      </x:c>
      <x:c r="G12" s="16" t="str">
        <x:v>pass</x:v>
      </x:c>
      <x:c r="H12" s="16" t="str">
        <x:v>synthetic:run-records/C07</x:v>
      </x:c>
      <x:c r="I12" s="19"/>
      <x:c r="J12" s="16"/>
      <x:c r="K12" s="16"/>
      <x:c r="L12" s="18" t="str">
        <x:f>IF(AND(A12&lt;&gt;"",COUNTIFS(A7:A14,A12)=1,COUNTIFS('Checks'!A7:A13,B12,'Checks'!B7:B13,C12,'Checks'!C7:C13,D12)=1,ISNUMBER(F12),F12&lt;='Portfolio'!$B$4,E12&lt;&gt;"",H12&lt;&gt;"",OR(G12="pass",G12="fail",G12="blocked",G12="unknown"),OR(AND(I12="",J12="",K12=""),AND(G12="fail",ISNUMBER(I12),I12&gt;=F12,I12&lt;='Portfolio'!$B$4,J12&lt;&gt;"",K12&lt;&gt;""))),"VALID","INVALID")</x:f>
        <x:v>VALID</x:v>
      </x:c>
      <x:c r="M12" s="18" t="n">
        <x:f>IF(AND(L12="VALID",G12="pass",E12='Portfolio'!$D$4,F12&gt;='Portfolio'!$B$4-'Portfolio'!$F$4),1,0)</x:f>
        <x:v>1</x:v>
      </x:c>
      <x:c r="N12" s="18" t="n">
        <x:f>IF(AND(G12="fail",OR(I12="",L12="INVALID")),1,0)</x:f>
        <x:v>0</x:v>
      </x:c>
    </x:row>
    <x:row r="13" ht="54" customHeight="1">
      <x:c r="A13" s="16" t="str">
        <x:v>R08</x:v>
      </x:c>
      <x:c r="B13" s="16" t="str">
        <x:v>C08</x:v>
      </x:c>
      <x:c r="C13" s="16" t="str">
        <x:v>A01</x:v>
      </x:c>
      <x:c r="D13" s="16" t="str">
        <x:v>B01</x:v>
      </x:c>
      <x:c r="E13" s="16" t="str">
        <x:v>synthetic-release-2</x:v>
      </x:c>
      <x:c r="F13" s="19" t="n">
        <x:v>46290</x:v>
      </x:c>
      <x:c r="G13" s="16" t="str">
        <x:v>pass</x:v>
      </x:c>
      <x:c r="H13" s="16" t="str">
        <x:v>synthetic:run-records/C08</x:v>
      </x:c>
      <x:c r="I13" s="19"/>
      <x:c r="J13" s="16"/>
      <x:c r="K13" s="16"/>
      <x:c r="L13" s="18" t="str">
        <x:f>IF(AND(A13&lt;&gt;"",COUNTIFS(A7:A14,A13)=1,COUNTIFS('Checks'!A7:A13,B13,'Checks'!B7:B13,C13,'Checks'!C7:C13,D13)=1,ISNUMBER(F13),F13&lt;='Portfolio'!$B$4,E13&lt;&gt;"",H13&lt;&gt;"",OR(G13="pass",G13="fail",G13="blocked",G13="unknown"),OR(AND(I13="",J13="",K13=""),AND(G13="fail",ISNUMBER(I13),I13&gt;=F13,I13&lt;='Portfolio'!$B$4,J13&lt;&gt;"",K13&lt;&gt;""))),"VALID","INVALID")</x:f>
        <x:v>VALID</x:v>
      </x:c>
      <x:c r="M13" s="18" t="n">
        <x:f>IF(AND(L13="VALID",G13="pass",E13='Portfolio'!$D$4,F13&gt;='Portfolio'!$B$4-'Portfolio'!$F$4),1,0)</x:f>
        <x:v>1</x:v>
      </x:c>
      <x:c r="N13" s="18" t="n">
        <x:f>IF(AND(G13="fail",OR(I13="",L13="INVALID")),1,0)</x:f>
        <x:v>0</x:v>
      </x:c>
    </x:row>
    <x:row r="14" ht="54" customHeight="1">
      <x:c r="A14" s="16" t="str">
        <x:v>R09</x:v>
      </x:c>
      <x:c r="B14" s="16" t="str">
        <x:v>C07</x:v>
      </x:c>
      <x:c r="C14" s="16" t="str">
        <x:v>A07</x:v>
      </x:c>
      <x:c r="D14" s="16" t="str">
        <x:v>B04</x:v>
      </x:c>
      <x:c r="E14" s="16" t="str">
        <x:v>synthetic-release-2</x:v>
      </x:c>
      <x:c r="F14" s="19" t="n">
        <x:v>46285</x:v>
      </x:c>
      <x:c r="G14" s="16" t="str">
        <x:v>fail</x:v>
      </x:c>
      <x:c r="H14" s="16" t="str">
        <x:v>synthetic:run-records/notification-retry-failure</x:v>
      </x:c>
      <x:c r="I14" s="19"/>
      <x:c r="J14" s="16"/>
      <x:c r="K14" s="16"/>
      <x:c r="L14" s="18" t="str">
        <x:f>IF(AND(A14&lt;&gt;"",COUNTIFS(A7:A14,A14)=1,COUNTIFS('Checks'!A7:A13,B14,'Checks'!B7:B13,C14,'Checks'!C7:C13,D14)=1,ISNUMBER(F14),F14&lt;='Portfolio'!$B$4,E14&lt;&gt;"",H14&lt;&gt;"",OR(G14="pass",G14="fail",G14="blocked",G14="unknown"),OR(AND(I14="",J14="",K14=""),AND(G14="fail",ISNUMBER(I14),I14&gt;=F14,I14&lt;='Portfolio'!$B$4,J14&lt;&gt;"",K14&lt;&gt;""))),"VALID","INVALID")</x:f>
        <x:v>VALID</x:v>
      </x:c>
      <x:c r="M14" s="18" t="n">
        <x:f>IF(AND(L14="VALID",G14="pass",E14='Portfolio'!$D$4,F14&gt;='Portfolio'!$B$4-'Portfolio'!$F$4),1,0)</x:f>
        <x:v>0</x:v>
      </x:c>
      <x:c r="N14" s="18" t="n">
        <x:f>IF(AND(G14="fail",OR(I14="",L14="INVALID")),1,0)</x:f>
        <x:v>1</x:v>
      </x:c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</x:sheetData>
  <x:conditionalFormatting sqref="L7:L14">
    <x:cfRule type="containsText" dxfId="2" priority="1" operator="containsText" text="INVALID"/>
  </x:conditionalFormatting>
  <x:dataValidations count="1">
    <x:dataValidation type="list" sqref="G7:G14">
      <x:formula1>"pass,fail,blocked,unknown"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17" hidden="0" customWidth="1"/>
    <x:col min="3" max="3" width="18" hidden="0" customWidth="1"/>
    <x:col min="4" max="4" width="18" hidden="0" customWidth="1"/>
    <x:col min="5" max="5" width="58" hidden="0" customWidth="1"/>
    <x:col min="6" max="6" width="60" hidden="0" customWidth="1"/>
    <x:col min="7" max="7" width="25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4" t="str">
        <x:v>Improvement assumptions</x:v>
      </x:c>
      <x:c r="B2" s="5"/>
      <x:c r="C2" s="5"/>
      <x:c r="D2" s="5"/>
      <x:c r="E2" s="5"/>
      <x:c r="F2" s="5"/>
      <x:c r="G2" s="5"/>
    </x:row>
    <x:row r="3">
      <x:c r="A3" s="2" t="str">
        <x:v>SYNTHETIC. Gain and effort are analyst assumptions, not measured release confidence. Compare alternatives for the same assertion set.</x:v>
      </x:c>
      <x:c r="B3" s="2"/>
      <x:c r="C3" s="2"/>
      <x:c r="D3" s="2"/>
      <x:c r="E3" s="2"/>
      <x:c r="F3" s="2"/>
      <x:c r="G3" s="2"/>
    </x:row>
    <x:row r="4">
      <x:c r="A4" s="2" t="str">
        <x:v>Edit gain and effort here for discussion. Run the CLI for same-scope dominance comparisons and retained source locators.</x:v>
      </x:c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 ht="32" customHeight="1">
      <x:c r="A6" s="15" t="str">
        <x:v>Proposal ID</x:v>
      </x:c>
      <x:c r="B6" s="15" t="str">
        <x:v>Assertion IDs</x:v>
      </x:c>
      <x:c r="C6" s="15" t="str">
        <x:v>Expected gain</x:v>
      </x:c>
      <x:c r="D6" s="15" t="str">
        <x:v>Effort minutes</x:v>
      </x:c>
      <x:c r="E6" s="15" t="str">
        <x:v>Action</x:v>
      </x:c>
      <x:c r="F6" s="15" t="str">
        <x:v>Rationale</x:v>
      </x:c>
      <x:c r="G6" s="15" t="str">
        <x:v>Input completeness</x:v>
      </x:c>
    </x:row>
    <x:row r="7" ht="70" customHeight="1">
      <x:c r="A7" s="16" t="str">
        <x:v>P01</x:v>
      </x:c>
      <x:c r="B7" s="16" t="str">
        <x:v>A05</x:v>
      </x:c>
      <x:c r="C7" s="16" t="str">
        <x:v>high</x:v>
      </x:c>
      <x:c r="D7" s="16" t="n">
        <x:v>30</x:v>
      </x:c>
      <x:c r="E7" s="16" t="str">
        <x:v>Add a representative report-propagation observation</x:v>
      </x:c>
      <x:c r="F7" s="16" t="str">
        <x:v>Illustrative analyst assumption for this synthetic scenario; not measured confidence or effort.</x:v>
      </x:c>
      <x:c r="G7" s="18" t="str">
        <x:f>IF(OR(C7="unknown",C7="",NOT(ISNUMBER(D7))),"UNKNOWN_ASSUMPTIONS",IF(D7&lt;0,"INVALID_EFFORT","ASSESSED"))</x:f>
        <x:v>ASSESSED</x:v>
      </x:c>
    </x:row>
    <x:row r="8" ht="70" customHeight="1">
      <x:c r="A8" s="16" t="str">
        <x:v>P02</x:v>
      </x:c>
      <x:c r="B8" s="16" t="str">
        <x:v>A05</x:v>
      </x:c>
      <x:c r="C8" s="16" t="str">
        <x:v>medium</x:v>
      </x:c>
      <x:c r="D8" s="16" t="n">
        <x:v>90</x:v>
      </x:c>
      <x:c r="E8" s="16" t="str">
        <x:v>Expand a broad report journey before isolating propagation</x:v>
      </x:c>
      <x:c r="F8" s="16" t="str">
        <x:v>Illustrative analyst assumption for this synthetic scenario; not measured confidence or effort.</x:v>
      </x:c>
      <x:c r="G8" s="18" t="str">
        <x:f>IF(OR(C8="unknown",C8="",NOT(ISNUMBER(D8))),"UNKNOWN_ASSUMPTIONS",IF(D8&lt;0,"INVALID_EFFORT","ASSESSED"))</x:f>
        <x:v>ASSESSED</x:v>
      </x:c>
    </x:row>
    <x:row r="9" ht="70" customHeight="1">
      <x:c r="A9" s="16" t="str">
        <x:v>P03</x:v>
      </x:c>
      <x:c r="B9" s="16" t="str">
        <x:v>A06</x:v>
      </x:c>
      <x:c r="C9" s="16" t="str">
        <x:v>unknown</x:v>
      </x:c>
      <x:c r="D9" s="16"/>
      <x:c r="E9" s="16" t="str">
        <x:v>Determine the inventory and refresh the dependent-application observation</x:v>
      </x:c>
      <x:c r="F9" s="16" t="str">
        <x:v>Illustrative analyst assumption for this synthetic scenario; not measured confidence or effort.</x:v>
      </x:c>
      <x:c r="G9" s="18" t="str">
        <x:f>IF(OR(C9="unknown",C9="",NOT(ISNUMBER(D9))),"UNKNOWN_ASSUMPTIONS",IF(D9&lt;0,"INVALID_EFFORT","ASSESSED"))</x:f>
        <x:v>UNKNOWN_ASSUMPTIONS</x:v>
      </x:c>
    </x:row>
    <x:row r="10" ht="70" customHeight="1">
      <x:c r="A10" s="16" t="str">
        <x:v>P04</x:v>
      </x:c>
      <x:c r="B10" s="16" t="str">
        <x:v>A07</x:v>
      </x:c>
      <x:c r="C10" s="16" t="str">
        <x:v>high</x:v>
      </x:c>
      <x:c r="D10" s="16" t="n">
        <x:v>20</x:v>
      </x:c>
      <x:c r="E10" s="16" t="str">
        <x:v>Preserve original notification failure and establish a disposition</x:v>
      </x:c>
      <x:c r="F10" s="16" t="str">
        <x:v>Illustrative analyst assumption for this synthetic scenario; not measured confidence or effort.</x:v>
      </x:c>
      <x:c r="G10" s="18" t="str">
        <x:f>IF(OR(C10="unknown",C10="",NOT(ISNUMBER(D10))),"UNKNOWN_ASSUMPTIONS",IF(D10&lt;0,"INVALID_EFFORT","ASSESSED"))</x:f>
        <x:v>ASSESSED</x:v>
      </x:c>
    </x:row>
    <x:row r="11">
      <x:c r="A11" s="2"/>
      <x:c r="B11" s="2"/>
      <x:c r="C11" s="2"/>
      <x:c r="D11" s="2"/>
      <x:c r="E11" s="2"/>
      <x:c r="F11" s="2"/>
      <x:c r="G11" s="2"/>
    </x:row>
    <x:row r="12">
      <x:c r="A12" s="2"/>
      <x:c r="B12" s="2"/>
      <x:c r="C12" s="2"/>
      <x:c r="D12" s="2"/>
      <x:c r="E12" s="2"/>
      <x:c r="F12" s="2"/>
      <x:c r="G12" s="2"/>
    </x:row>
    <x:row r="13">
      <x:c r="A13" s="2"/>
      <x:c r="B13" s="2"/>
      <x:c r="C13" s="2"/>
      <x:c r="D13" s="2"/>
      <x:c r="E13" s="2"/>
      <x:c r="F13" s="2"/>
      <x:c r="G13" s="2"/>
    </x:row>
    <x:row r="14">
      <x:c r="A14" s="2"/>
      <x:c r="B14" s="2"/>
      <x:c r="C14" s="2"/>
      <x:c r="D14" s="2"/>
      <x:c r="E14" s="2"/>
      <x:c r="F14" s="2"/>
      <x:c r="G14" s="2"/>
    </x:row>
  </x:sheetData>
  <x:conditionalFormatting sqref="G7:G10">
    <x:cfRule type="containsText" dxfId="3" priority="1" operator="containsText" text="INVALID"/>
  </x:conditionalFormatting>
  <x:dataValidations count="1">
    <x:dataValidation type="list" sqref="C7:C10">
      <x:formula1>"high,medium,low,unknown"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70" hidden="0" customWidth="1"/>
    <x:col min="3" max="3" width="20" hidden="0" customWidth="1"/>
    <x:col min="4" max="4" width="20" hidden="0" customWidth="1"/>
    <x:col min="5" max="5" width="55" hidden="0" customWidth="1"/>
    <x:col min="6" max="6" width="55" hidden="0" customWidth="1"/>
    <x:col min="7" max="7" width="65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4" t="str">
        <x:v>Published source table</x:v>
      </x:c>
      <x:c r="B2" s="5"/>
      <x:c r="C2" s="5"/>
      <x:c r="D2" s="5"/>
      <x:c r="E2" s="5"/>
      <x:c r="F2" s="5"/>
      <x:c r="G2" s="5"/>
    </x:row>
    <x:row r="3">
      <x:c r="A3" s="2" t="str">
        <x:v>Source: https://github.com/woahwhattheheck/commons/blob/56a48b18202794bca0ef7fb6397f5b1c0da49cec/revenue/uiowa_rfq_18649_build_board/45-testing-portfolio-example.csv</x:v>
      </x:c>
      <x:c r="B3" s="2"/>
      <x:c r="C3" s="2"/>
      <x:c r="D3" s="2"/>
      <x:c r="E3" s="2"/>
      <x:c r="F3" s="2"/>
      <x:c r="G3" s="2"/>
    </x:row>
    <x:row r="4">
      <x:c r="A4" s="2" t="str">
        <x:v>Original source blob: bb7a0005c3c194af3f5e12f15f6d17420ac6d1d1. Original values below remain separate from the fictional run-record extension.</x:v>
      </x:c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 ht="32" customHeight="1">
      <x:c r="A6" s="15" t="str">
        <x:v>Service</x:v>
      </x:c>
      <x:c r="B6" s="15" t="str">
        <x:v>Behavior</x:v>
      </x:c>
      <x:c r="C6" s="15" t="str">
        <x:v>Test level</x:v>
      </x:c>
      <x:c r="D6" s="15" t="str">
        <x:v>Coverage claim</x:v>
      </x:c>
      <x:c r="E6" s="15" t="str">
        <x:v>Passing establishes</x:v>
      </x:c>
      <x:c r="F6" s="15" t="str">
        <x:v>Passing does not establish</x:v>
      </x:c>
      <x:c r="G6" s="15" t="str">
        <x:v>Portfolio note</x:v>
      </x:c>
    </x:row>
    <x:row r="7" ht="88" customHeight="1">
      <x:c r="A7" s="18" t="str">
        <x:v>ESS</x:v>
      </x:c>
      <x:c r="B7" s="18" t="str">
        <x:v>Fictional enrollment request preserves selected course and resulting state</x:v>
      </x:c>
      <x:c r="C7" s="18" t="str">
        <x:v>unit</x:v>
      </x:c>
      <x:c r="D7" s="18" t="str">
        <x:v>Covered</x:v>
      </x:c>
      <x:c r="E7" s="18" t="str">
        <x:v>Covered domain rules behave as specified</x:v>
      </x:c>
      <x:c r="F7" s="18" t="str">
        <x:v>Persistence or complete user journey</x:v>
      </x:c>
      <x:c r="G7" s="18" t="str">
        <x:v>Useful isolated rule evidence</x:v>
      </x:c>
    </x:row>
    <x:row r="8" ht="88" customHeight="1">
      <x:c r="A8" s="18" t="str">
        <x:v>ESS</x:v>
      </x:c>
      <x:c r="B8" s="18" t="str">
        <x:v>Fictional enrollment request preserves selected course and resulting state</x:v>
      </x:c>
      <x:c r="C8" s="18" t="str">
        <x:v>integration</x:v>
      </x:c>
      <x:c r="D8" s="18" t="str">
        <x:v>Covered</x:v>
      </x:c>
      <x:c r="E8" s="18" t="str">
        <x:v>Covered persistence round trip succeeds</x:v>
      </x:c>
      <x:c r="F8" s="18" t="str">
        <x:v>External integrations or user acceptance</x:v>
      </x:c>
      <x:c r="G8" s="18" t="str">
        <x:v>Distinct from unit evidence</x:v>
      </x:c>
    </x:row>
    <x:row r="9" ht="88" customHeight="1">
      <x:c r="A9" s="18" t="str">
        <x:v>ESS</x:v>
      </x:c>
      <x:c r="B9" s="18" t="str">
        <x:v>Fictional enrollment request preserves selected course and resulting state</x:v>
      </x:c>
      <x:c r="C9" s="18" t="str">
        <x:v>end-to-end</x:v>
      </x:c>
      <x:c r="D9" s="18" t="str">
        <x:v>Covered</x:v>
      </x:c>
      <x:c r="E9" s="18" t="str">
        <x:v>One representative deployed journey succeeds</x:v>
      </x:c>
      <x:c r="F9" s="18" t="str">
        <x:v>All workflow variations or business acceptance</x:v>
      </x:c>
      <x:c r="G9" s="18" t="str">
        <x:v>Keep scenario narrow and stable</x:v>
      </x:c>
    </x:row>
    <x:row r="10" ht="88" customHeight="1">
      <x:c r="A10" s="18" t="str">
        <x:v>RIS</x:v>
      </x:c>
      <x:c r="B10" s="18" t="str">
        <x:v>Fictional approved status appears in downstream report</x:v>
      </x:c>
      <x:c r="C10" s="18" t="str">
        <x:v>contract</x:v>
      </x:c>
      <x:c r="D10" s="18" t="str">
        <x:v>Covered</x:v>
      </x:c>
      <x:c r="E10" s="18" t="str">
        <x:v>Interface shape is compatible</x:v>
      </x:c>
      <x:c r="F10" s="18" t="str">
        <x:v>Complete propagation or timing</x:v>
      </x:c>
      <x:c r="G10" s="18" t="str">
        <x:v>Contract evidence is not end-to-end evidence</x:v>
      </x:c>
    </x:row>
    <x:row r="11" ht="88" customHeight="1">
      <x:c r="A11" s="18" t="str">
        <x:v>RIS</x:v>
      </x:c>
      <x:c r="B11" s="18" t="str">
        <x:v>Fictional approved status appears in downstream report</x:v>
      </x:c>
      <x:c r="C11" s="18" t="str">
        <x:v>end-to-end</x:v>
      </x:c>
      <x:c r="D11" s="18" t="str">
        <x:v>Gap</x:v>
      </x:c>
      <x:c r="E11" s="18" t="str">
        <x:v>No passing evidence exists</x:v>
      </x:c>
      <x:c r="F11" s="18" t="str">
        <x:v>Complete propagation remains unknown</x:v>
      </x:c>
      <x:c r="G11" s="18" t="str">
        <x:v>Potential high-value gap if behavior is material</x:v>
      </x:c>
    </x:row>
    <x:row r="12" ht="88" customHeight="1">
      <x:c r="A12" s="18" t="str">
        <x:v>IAM</x:v>
      </x:c>
      <x:c r="B12" s="18" t="str">
        <x:v>Fictional directory profile update appears in representative dependent application</x:v>
      </x:c>
      <x:c r="C12" s="18" t="str">
        <x:v>end-to-end</x:v>
      </x:c>
      <x:c r="D12" s="18" t="str">
        <x:v>Partial</x:v>
      </x:c>
      <x:c r="E12" s="18" t="str">
        <x:v>One representative propagation path succeeds</x:v>
      </x:c>
      <x:c r="F12" s="18" t="str">
        <x:v>All dependent applications or every profile variation</x:v>
      </x:c>
      <x:c r="G12" s="18" t="str">
        <x:v>Representative evidence only</x:v>
      </x:c>
    </x:row>
    <x:row r="13" ht="88" customHeight="1">
      <x:c r="A13" s="18" t="str">
        <x:v>Shared</x:v>
      </x:c>
      <x:c r="B13" s="18" t="str">
        <x:v>Fictional notification service accepts ESS and RIS requests</x:v>
      </x:c>
      <x:c r="C13" s="18" t="str">
        <x:v>integration</x:v>
      </x:c>
      <x:c r="D13" s="18" t="str">
        <x:v>Covered</x:v>
      </x:c>
      <x:c r="E13" s="18" t="str">
        <x:v>Representative client requests are accepted</x:v>
      </x:c>
      <x:c r="F13" s="18" t="str">
        <x:v>End-user delivery or client-specific outcome</x:v>
      </x:c>
      <x:c r="G13" s="18" t="str">
        <x:v>Repeated generic client checks are consolidation candidates</x:v>
      </x:c>
    </x:row>
    <x:row r="14">
      <x:c r="A14" s="2"/>
      <x:c r="B14" s="2"/>
      <x:c r="C14" s="2"/>
      <x:c r="D14" s="2"/>
      <x:c r="E14" s="2"/>
      <x:c r="F14" s="2"/>
      <x:c r="G14" s="2"/>
    </x:row>
    <x:row r="15">
      <x:c r="A15" s="2"/>
      <x:c r="B15" s="2"/>
      <x:c r="C15" s="2"/>
      <x:c r="D15" s="2"/>
      <x:c r="E15" s="2"/>
      <x:c r="F15" s="2"/>
      <x:c r="G15" s="2"/>
    </x:row>
    <x:row r="16">
      <x:c r="A16" s="2"/>
      <x:c r="B16" s="2"/>
      <x:c r="C16" s="2"/>
      <x:c r="D16" s="2"/>
      <x:c r="E16" s="2"/>
      <x:c r="F16" s="2"/>
      <x:c r="G16" s="2"/>
    </x:row>
    <x:row r="17">
      <x:c r="A17" s="2"/>
      <x:c r="B17" s="2"/>
      <x:c r="C17" s="2"/>
      <x:c r="D17" s="2"/>
      <x:c r="E17" s="2"/>
      <x:c r="F17" s="2"/>
      <x:c r="G17" s="2"/>
    </x:row>
    <x:row r="18">
      <x:c r="A18" s="2"/>
      <x:c r="B18" s="2"/>
      <x:c r="C18" s="2"/>
      <x:c r="D18" s="2"/>
      <x:c r="E18" s="2"/>
      <x:c r="F18" s="2"/>
      <x:c r="G18" s="2"/>
    </x:row>
  </x:sheetData>
  <x:pageMargins left="0.7" right="0.7" top="0.75" bottom="0.75" header="0.3" footer="0.3"/>
</x:worksheet>
</file>